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McC\Documents\Guy\"/>
    </mc:Choice>
  </mc:AlternateContent>
  <bookViews>
    <workbookView xWindow="0" yWindow="0" windowWidth="20490" windowHeight="7755"/>
  </bookViews>
  <sheets>
    <sheet name="Sheet1" sheetId="1" r:id="rId1"/>
    <sheet name="Sheet2" sheetId="2" r:id="rId2"/>
  </sheets>
  <definedNames>
    <definedName name="_xlnm._FilterDatabase" localSheetId="0" hidden="1">Sheet1!$B$1:$M$346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28" i="1" l="1"/>
  <c r="J328" i="1"/>
  <c r="K328" i="1"/>
  <c r="L328" i="1"/>
  <c r="M328" i="1" s="1"/>
  <c r="I329" i="1"/>
  <c r="J329" i="1"/>
  <c r="K329" i="1"/>
  <c r="L329" i="1"/>
  <c r="M329" i="1" s="1"/>
  <c r="I330" i="1"/>
  <c r="J330" i="1"/>
  <c r="K330" i="1"/>
  <c r="L330" i="1"/>
  <c r="M330" i="1" s="1"/>
  <c r="I331" i="1"/>
  <c r="J331" i="1"/>
  <c r="K331" i="1"/>
  <c r="L331" i="1"/>
  <c r="M331" i="1" s="1"/>
  <c r="I332" i="1"/>
  <c r="J332" i="1"/>
  <c r="K332" i="1"/>
  <c r="L332" i="1"/>
  <c r="M332" i="1" s="1"/>
  <c r="I333" i="1"/>
  <c r="J333" i="1"/>
  <c r="K333" i="1"/>
  <c r="L333" i="1"/>
  <c r="M333" i="1" s="1"/>
  <c r="I334" i="1"/>
  <c r="J334" i="1"/>
  <c r="K334" i="1"/>
  <c r="L334" i="1"/>
  <c r="M334" i="1" s="1"/>
  <c r="I335" i="1"/>
  <c r="J335" i="1"/>
  <c r="K335" i="1"/>
  <c r="L335" i="1"/>
  <c r="M335" i="1" s="1"/>
  <c r="I336" i="1"/>
  <c r="J336" i="1"/>
  <c r="K336" i="1"/>
  <c r="L336" i="1"/>
  <c r="M336" i="1" s="1"/>
  <c r="I337" i="1"/>
  <c r="J337" i="1"/>
  <c r="K337" i="1"/>
  <c r="L337" i="1"/>
  <c r="M337" i="1" s="1"/>
  <c r="I338" i="1"/>
  <c r="J338" i="1"/>
  <c r="K338" i="1"/>
  <c r="L338" i="1"/>
  <c r="M338" i="1" s="1"/>
  <c r="I339" i="1"/>
  <c r="J339" i="1"/>
  <c r="K339" i="1"/>
  <c r="L339" i="1"/>
  <c r="M339" i="1" s="1"/>
  <c r="I340" i="1"/>
  <c r="J340" i="1"/>
  <c r="K340" i="1"/>
  <c r="L340" i="1"/>
  <c r="M340" i="1" s="1"/>
  <c r="I341" i="1"/>
  <c r="J341" i="1"/>
  <c r="K341" i="1"/>
  <c r="L341" i="1"/>
  <c r="M341" i="1" s="1"/>
  <c r="I342" i="1"/>
  <c r="J342" i="1"/>
  <c r="K342" i="1"/>
  <c r="L342" i="1"/>
  <c r="M342" i="1" s="1"/>
  <c r="I343" i="1"/>
  <c r="J343" i="1"/>
  <c r="K343" i="1"/>
  <c r="L343" i="1"/>
  <c r="M343" i="1" s="1"/>
  <c r="I344" i="1"/>
  <c r="J344" i="1"/>
  <c r="K344" i="1"/>
  <c r="L344" i="1"/>
  <c r="M344" i="1" s="1"/>
  <c r="I345" i="1"/>
  <c r="J345" i="1"/>
  <c r="K345" i="1"/>
  <c r="L345" i="1"/>
  <c r="M345" i="1" s="1"/>
  <c r="I346" i="1"/>
  <c r="J346" i="1"/>
  <c r="K346" i="1"/>
  <c r="L346" i="1"/>
  <c r="M346" i="1" s="1"/>
  <c r="I292" i="1"/>
  <c r="J292" i="1"/>
  <c r="K292" i="1"/>
  <c r="L292" i="1"/>
  <c r="M292" i="1" s="1"/>
  <c r="I293" i="1"/>
  <c r="J293" i="1"/>
  <c r="K293" i="1"/>
  <c r="L293" i="1"/>
  <c r="M293" i="1" s="1"/>
  <c r="I294" i="1"/>
  <c r="J294" i="1"/>
  <c r="K294" i="1"/>
  <c r="L294" i="1"/>
  <c r="M294" i="1" s="1"/>
  <c r="I295" i="1"/>
  <c r="J295" i="1"/>
  <c r="K295" i="1"/>
  <c r="L295" i="1"/>
  <c r="M295" i="1" s="1"/>
  <c r="I296" i="1"/>
  <c r="J296" i="1"/>
  <c r="K296" i="1"/>
  <c r="L296" i="1"/>
  <c r="M296" i="1" s="1"/>
  <c r="I297" i="1"/>
  <c r="J297" i="1"/>
  <c r="K297" i="1"/>
  <c r="L297" i="1"/>
  <c r="M297" i="1" s="1"/>
  <c r="I298" i="1"/>
  <c r="J298" i="1"/>
  <c r="K298" i="1"/>
  <c r="L298" i="1"/>
  <c r="M298" i="1" s="1"/>
  <c r="I299" i="1"/>
  <c r="J299" i="1"/>
  <c r="K299" i="1"/>
  <c r="L299" i="1"/>
  <c r="M299" i="1" s="1"/>
  <c r="I300" i="1"/>
  <c r="J300" i="1"/>
  <c r="K300" i="1"/>
  <c r="L300" i="1"/>
  <c r="M300" i="1" s="1"/>
  <c r="I301" i="1"/>
  <c r="J301" i="1"/>
  <c r="K301" i="1"/>
  <c r="L301" i="1"/>
  <c r="M301" i="1" s="1"/>
  <c r="I302" i="1"/>
  <c r="J302" i="1"/>
  <c r="K302" i="1"/>
  <c r="L302" i="1"/>
  <c r="M302" i="1" s="1"/>
  <c r="I303" i="1"/>
  <c r="J303" i="1"/>
  <c r="K303" i="1"/>
  <c r="L303" i="1"/>
  <c r="M303" i="1" s="1"/>
  <c r="I304" i="1"/>
  <c r="J304" i="1"/>
  <c r="K304" i="1"/>
  <c r="L304" i="1"/>
  <c r="M304" i="1" s="1"/>
  <c r="I305" i="1"/>
  <c r="J305" i="1"/>
  <c r="K305" i="1"/>
  <c r="L305" i="1"/>
  <c r="M305" i="1" s="1"/>
  <c r="I306" i="1"/>
  <c r="J306" i="1"/>
  <c r="K306" i="1"/>
  <c r="L306" i="1"/>
  <c r="M306" i="1" s="1"/>
  <c r="I307" i="1"/>
  <c r="J307" i="1"/>
  <c r="K307" i="1"/>
  <c r="L307" i="1"/>
  <c r="M307" i="1" s="1"/>
  <c r="I308" i="1"/>
  <c r="J308" i="1"/>
  <c r="K308" i="1"/>
  <c r="L308" i="1"/>
  <c r="M308" i="1" s="1"/>
  <c r="I309" i="1"/>
  <c r="J309" i="1"/>
  <c r="K309" i="1"/>
  <c r="L309" i="1"/>
  <c r="M309" i="1" s="1"/>
  <c r="I310" i="1"/>
  <c r="J310" i="1"/>
  <c r="K310" i="1"/>
  <c r="L310" i="1"/>
  <c r="M310" i="1" s="1"/>
  <c r="I311" i="1"/>
  <c r="J311" i="1"/>
  <c r="K311" i="1"/>
  <c r="L311" i="1"/>
  <c r="M311" i="1" s="1"/>
  <c r="I312" i="1"/>
  <c r="J312" i="1"/>
  <c r="K312" i="1"/>
  <c r="L312" i="1"/>
  <c r="M312" i="1" s="1"/>
  <c r="I313" i="1"/>
  <c r="J313" i="1"/>
  <c r="K313" i="1"/>
  <c r="L313" i="1"/>
  <c r="M313" i="1" s="1"/>
  <c r="I314" i="1"/>
  <c r="J314" i="1"/>
  <c r="K314" i="1"/>
  <c r="L314" i="1"/>
  <c r="M314" i="1" s="1"/>
  <c r="I315" i="1"/>
  <c r="J315" i="1"/>
  <c r="K315" i="1"/>
  <c r="L315" i="1"/>
  <c r="M315" i="1" s="1"/>
  <c r="I316" i="1"/>
  <c r="J316" i="1"/>
  <c r="K316" i="1"/>
  <c r="L316" i="1"/>
  <c r="M316" i="1" s="1"/>
  <c r="I317" i="1"/>
  <c r="J317" i="1"/>
  <c r="K317" i="1"/>
  <c r="L317" i="1"/>
  <c r="M317" i="1" s="1"/>
  <c r="I318" i="1"/>
  <c r="J318" i="1"/>
  <c r="K318" i="1"/>
  <c r="L318" i="1"/>
  <c r="M318" i="1" s="1"/>
  <c r="I319" i="1"/>
  <c r="J319" i="1"/>
  <c r="K319" i="1"/>
  <c r="L319" i="1"/>
  <c r="M319" i="1" s="1"/>
  <c r="I320" i="1"/>
  <c r="J320" i="1"/>
  <c r="K320" i="1"/>
  <c r="L320" i="1"/>
  <c r="M320" i="1" s="1"/>
  <c r="I321" i="1"/>
  <c r="J321" i="1"/>
  <c r="K321" i="1"/>
  <c r="L321" i="1"/>
  <c r="M321" i="1" s="1"/>
  <c r="I322" i="1"/>
  <c r="J322" i="1"/>
  <c r="K322" i="1"/>
  <c r="L322" i="1"/>
  <c r="M322" i="1" s="1"/>
  <c r="I323" i="1"/>
  <c r="J323" i="1"/>
  <c r="K323" i="1"/>
  <c r="L323" i="1"/>
  <c r="M323" i="1" s="1"/>
  <c r="I324" i="1"/>
  <c r="J324" i="1"/>
  <c r="K324" i="1"/>
  <c r="L324" i="1"/>
  <c r="M324" i="1" s="1"/>
  <c r="I325" i="1"/>
  <c r="J325" i="1"/>
  <c r="K325" i="1"/>
  <c r="L325" i="1"/>
  <c r="M325" i="1" s="1"/>
  <c r="I326" i="1"/>
  <c r="J326" i="1"/>
  <c r="K326" i="1"/>
  <c r="L326" i="1"/>
  <c r="M326" i="1" s="1"/>
  <c r="I327" i="1"/>
  <c r="J327" i="1"/>
  <c r="K327" i="1"/>
  <c r="L327" i="1"/>
  <c r="M327" i="1" s="1"/>
  <c r="I172" i="1"/>
  <c r="J172" i="1"/>
  <c r="K172" i="1"/>
  <c r="L172" i="1"/>
  <c r="M172" i="1" s="1"/>
  <c r="I173" i="1"/>
  <c r="J173" i="1"/>
  <c r="K173" i="1"/>
  <c r="L173" i="1"/>
  <c r="M173" i="1" s="1"/>
  <c r="I174" i="1"/>
  <c r="J174" i="1"/>
  <c r="K174" i="1"/>
  <c r="L174" i="1"/>
  <c r="M174" i="1" s="1"/>
  <c r="I175" i="1"/>
  <c r="J175" i="1"/>
  <c r="K175" i="1"/>
  <c r="L175" i="1"/>
  <c r="M175" i="1" s="1"/>
  <c r="I176" i="1"/>
  <c r="J176" i="1"/>
  <c r="K176" i="1"/>
  <c r="L176" i="1"/>
  <c r="M176" i="1" s="1"/>
  <c r="I177" i="1"/>
  <c r="J177" i="1"/>
  <c r="K177" i="1"/>
  <c r="L177" i="1"/>
  <c r="M177" i="1" s="1"/>
  <c r="I178" i="1"/>
  <c r="J178" i="1"/>
  <c r="K178" i="1"/>
  <c r="L178" i="1"/>
  <c r="M178" i="1" s="1"/>
  <c r="I179" i="1"/>
  <c r="J179" i="1"/>
  <c r="K179" i="1"/>
  <c r="L179" i="1"/>
  <c r="M179" i="1" s="1"/>
  <c r="I180" i="1"/>
  <c r="J180" i="1"/>
  <c r="K180" i="1"/>
  <c r="L180" i="1"/>
  <c r="M180" i="1" s="1"/>
  <c r="I181" i="1"/>
  <c r="J181" i="1"/>
  <c r="K181" i="1"/>
  <c r="L181" i="1"/>
  <c r="M181" i="1" s="1"/>
  <c r="I182" i="1"/>
  <c r="J182" i="1"/>
  <c r="K182" i="1"/>
  <c r="L182" i="1"/>
  <c r="M182" i="1" s="1"/>
  <c r="I183" i="1"/>
  <c r="J183" i="1"/>
  <c r="K183" i="1"/>
  <c r="L183" i="1"/>
  <c r="M183" i="1" s="1"/>
  <c r="I184" i="1"/>
  <c r="J184" i="1"/>
  <c r="K184" i="1"/>
  <c r="L184" i="1"/>
  <c r="M184" i="1" s="1"/>
  <c r="I185" i="1"/>
  <c r="J185" i="1"/>
  <c r="K185" i="1"/>
  <c r="L185" i="1"/>
  <c r="M185" i="1" s="1"/>
  <c r="I186" i="1"/>
  <c r="J186" i="1"/>
  <c r="K186" i="1"/>
  <c r="L186" i="1"/>
  <c r="M186" i="1" s="1"/>
  <c r="I187" i="1"/>
  <c r="J187" i="1"/>
  <c r="K187" i="1"/>
  <c r="L187" i="1"/>
  <c r="M187" i="1"/>
  <c r="I188" i="1"/>
  <c r="J188" i="1"/>
  <c r="K188" i="1"/>
  <c r="L188" i="1"/>
  <c r="M188" i="1" s="1"/>
  <c r="I189" i="1"/>
  <c r="J189" i="1"/>
  <c r="K189" i="1"/>
  <c r="L189" i="1"/>
  <c r="M189" i="1" s="1"/>
  <c r="I190" i="1"/>
  <c r="J190" i="1"/>
  <c r="K190" i="1"/>
  <c r="L190" i="1"/>
  <c r="M190" i="1" s="1"/>
  <c r="I191" i="1"/>
  <c r="J191" i="1"/>
  <c r="K191" i="1"/>
  <c r="L191" i="1"/>
  <c r="M191" i="1" s="1"/>
  <c r="I192" i="1"/>
  <c r="J192" i="1"/>
  <c r="K192" i="1"/>
  <c r="L192" i="1"/>
  <c r="M192" i="1" s="1"/>
  <c r="I193" i="1"/>
  <c r="J193" i="1"/>
  <c r="K193" i="1"/>
  <c r="L193" i="1"/>
  <c r="M193" i="1" s="1"/>
  <c r="I194" i="1"/>
  <c r="J194" i="1"/>
  <c r="K194" i="1"/>
  <c r="L194" i="1"/>
  <c r="M194" i="1" s="1"/>
  <c r="I195" i="1"/>
  <c r="J195" i="1"/>
  <c r="K195" i="1"/>
  <c r="L195" i="1"/>
  <c r="M195" i="1" s="1"/>
  <c r="I196" i="1"/>
  <c r="J196" i="1"/>
  <c r="K196" i="1"/>
  <c r="L196" i="1"/>
  <c r="M196" i="1" s="1"/>
  <c r="I197" i="1"/>
  <c r="J197" i="1"/>
  <c r="K197" i="1"/>
  <c r="L197" i="1"/>
  <c r="M197" i="1" s="1"/>
  <c r="I198" i="1"/>
  <c r="J198" i="1"/>
  <c r="K198" i="1"/>
  <c r="L198" i="1"/>
  <c r="M198" i="1" s="1"/>
  <c r="I199" i="1"/>
  <c r="J199" i="1"/>
  <c r="K199" i="1"/>
  <c r="L199" i="1"/>
  <c r="M199" i="1" s="1"/>
  <c r="I200" i="1"/>
  <c r="J200" i="1"/>
  <c r="K200" i="1"/>
  <c r="L200" i="1"/>
  <c r="M200" i="1" s="1"/>
  <c r="I201" i="1"/>
  <c r="J201" i="1"/>
  <c r="K201" i="1"/>
  <c r="L201" i="1"/>
  <c r="M201" i="1" s="1"/>
  <c r="I202" i="1"/>
  <c r="J202" i="1"/>
  <c r="K202" i="1"/>
  <c r="L202" i="1"/>
  <c r="M202" i="1" s="1"/>
  <c r="I203" i="1"/>
  <c r="J203" i="1"/>
  <c r="K203" i="1"/>
  <c r="L203" i="1"/>
  <c r="M203" i="1" s="1"/>
  <c r="I204" i="1"/>
  <c r="J204" i="1"/>
  <c r="K204" i="1"/>
  <c r="L204" i="1"/>
  <c r="M204" i="1" s="1"/>
  <c r="I205" i="1"/>
  <c r="J205" i="1"/>
  <c r="K205" i="1"/>
  <c r="L205" i="1"/>
  <c r="M205" i="1" s="1"/>
  <c r="I206" i="1"/>
  <c r="J206" i="1"/>
  <c r="K206" i="1"/>
  <c r="L206" i="1"/>
  <c r="M206" i="1" s="1"/>
  <c r="I207" i="1"/>
  <c r="J207" i="1"/>
  <c r="K207" i="1"/>
  <c r="L207" i="1"/>
  <c r="M207" i="1" s="1"/>
  <c r="I208" i="1"/>
  <c r="J208" i="1"/>
  <c r="K208" i="1"/>
  <c r="L208" i="1"/>
  <c r="M208" i="1" s="1"/>
  <c r="I209" i="1"/>
  <c r="J209" i="1"/>
  <c r="K209" i="1"/>
  <c r="L209" i="1"/>
  <c r="M209" i="1" s="1"/>
  <c r="I210" i="1"/>
  <c r="J210" i="1"/>
  <c r="K210" i="1"/>
  <c r="L210" i="1"/>
  <c r="M210" i="1" s="1"/>
  <c r="I211" i="1"/>
  <c r="J211" i="1"/>
  <c r="K211" i="1"/>
  <c r="L211" i="1"/>
  <c r="M211" i="1" s="1"/>
  <c r="I212" i="1"/>
  <c r="J212" i="1"/>
  <c r="K212" i="1"/>
  <c r="L212" i="1"/>
  <c r="M212" i="1" s="1"/>
  <c r="I213" i="1"/>
  <c r="J213" i="1"/>
  <c r="K213" i="1"/>
  <c r="L213" i="1"/>
  <c r="M213" i="1" s="1"/>
  <c r="I214" i="1"/>
  <c r="J214" i="1"/>
  <c r="K214" i="1"/>
  <c r="L214" i="1"/>
  <c r="M214" i="1" s="1"/>
  <c r="I215" i="1"/>
  <c r="J215" i="1"/>
  <c r="K215" i="1"/>
  <c r="L215" i="1"/>
  <c r="M215" i="1" s="1"/>
  <c r="I216" i="1"/>
  <c r="J216" i="1"/>
  <c r="K216" i="1"/>
  <c r="L216" i="1"/>
  <c r="M216" i="1" s="1"/>
  <c r="I217" i="1"/>
  <c r="J217" i="1"/>
  <c r="K217" i="1"/>
  <c r="L217" i="1"/>
  <c r="M217" i="1" s="1"/>
  <c r="I218" i="1"/>
  <c r="J218" i="1"/>
  <c r="K218" i="1"/>
  <c r="L218" i="1"/>
  <c r="M218" i="1" s="1"/>
  <c r="I219" i="1"/>
  <c r="J219" i="1"/>
  <c r="K219" i="1"/>
  <c r="L219" i="1"/>
  <c r="M219" i="1" s="1"/>
  <c r="I220" i="1"/>
  <c r="J220" i="1"/>
  <c r="K220" i="1"/>
  <c r="L220" i="1"/>
  <c r="M220" i="1" s="1"/>
  <c r="I221" i="1"/>
  <c r="J221" i="1"/>
  <c r="K221" i="1"/>
  <c r="L221" i="1"/>
  <c r="M221" i="1" s="1"/>
  <c r="I222" i="1"/>
  <c r="J222" i="1"/>
  <c r="K222" i="1"/>
  <c r="L222" i="1"/>
  <c r="M222" i="1" s="1"/>
  <c r="I223" i="1"/>
  <c r="J223" i="1"/>
  <c r="K223" i="1"/>
  <c r="L223" i="1"/>
  <c r="M223" i="1" s="1"/>
  <c r="I224" i="1"/>
  <c r="J224" i="1"/>
  <c r="K224" i="1"/>
  <c r="L224" i="1"/>
  <c r="M224" i="1" s="1"/>
  <c r="I225" i="1"/>
  <c r="J225" i="1"/>
  <c r="K225" i="1"/>
  <c r="L225" i="1"/>
  <c r="M225" i="1" s="1"/>
  <c r="I226" i="1"/>
  <c r="J226" i="1"/>
  <c r="K226" i="1"/>
  <c r="L226" i="1"/>
  <c r="M226" i="1" s="1"/>
  <c r="I227" i="1"/>
  <c r="J227" i="1"/>
  <c r="K227" i="1"/>
  <c r="L227" i="1"/>
  <c r="M227" i="1" s="1"/>
  <c r="I228" i="1"/>
  <c r="J228" i="1"/>
  <c r="K228" i="1"/>
  <c r="L228" i="1"/>
  <c r="M228" i="1" s="1"/>
  <c r="I229" i="1"/>
  <c r="J229" i="1"/>
  <c r="K229" i="1"/>
  <c r="L229" i="1"/>
  <c r="M229" i="1" s="1"/>
  <c r="I230" i="1"/>
  <c r="J230" i="1"/>
  <c r="K230" i="1"/>
  <c r="L230" i="1"/>
  <c r="M230" i="1" s="1"/>
  <c r="I231" i="1"/>
  <c r="J231" i="1"/>
  <c r="K231" i="1"/>
  <c r="L231" i="1"/>
  <c r="M231" i="1" s="1"/>
  <c r="I232" i="1"/>
  <c r="J232" i="1"/>
  <c r="K232" i="1"/>
  <c r="L232" i="1"/>
  <c r="M232" i="1" s="1"/>
  <c r="I233" i="1"/>
  <c r="J233" i="1"/>
  <c r="K233" i="1"/>
  <c r="L233" i="1"/>
  <c r="M233" i="1" s="1"/>
  <c r="I234" i="1"/>
  <c r="J234" i="1"/>
  <c r="K234" i="1"/>
  <c r="L234" i="1"/>
  <c r="M234" i="1" s="1"/>
  <c r="I235" i="1"/>
  <c r="J235" i="1"/>
  <c r="K235" i="1"/>
  <c r="L235" i="1"/>
  <c r="M235" i="1" s="1"/>
  <c r="I236" i="1"/>
  <c r="J236" i="1"/>
  <c r="K236" i="1"/>
  <c r="L236" i="1"/>
  <c r="M236" i="1" s="1"/>
  <c r="I237" i="1"/>
  <c r="J237" i="1"/>
  <c r="K237" i="1"/>
  <c r="L237" i="1"/>
  <c r="M237" i="1" s="1"/>
  <c r="I238" i="1"/>
  <c r="J238" i="1"/>
  <c r="K238" i="1"/>
  <c r="L238" i="1"/>
  <c r="M238" i="1" s="1"/>
  <c r="I239" i="1"/>
  <c r="J239" i="1"/>
  <c r="K239" i="1"/>
  <c r="L239" i="1"/>
  <c r="M239" i="1" s="1"/>
  <c r="I240" i="1"/>
  <c r="J240" i="1"/>
  <c r="K240" i="1"/>
  <c r="L240" i="1"/>
  <c r="M240" i="1" s="1"/>
  <c r="I241" i="1"/>
  <c r="J241" i="1"/>
  <c r="K241" i="1"/>
  <c r="L241" i="1"/>
  <c r="M241" i="1" s="1"/>
  <c r="I242" i="1"/>
  <c r="J242" i="1"/>
  <c r="K242" i="1"/>
  <c r="L242" i="1"/>
  <c r="M242" i="1" s="1"/>
  <c r="I243" i="1"/>
  <c r="J243" i="1"/>
  <c r="K243" i="1"/>
  <c r="L243" i="1"/>
  <c r="M243" i="1" s="1"/>
  <c r="I244" i="1"/>
  <c r="J244" i="1"/>
  <c r="K244" i="1"/>
  <c r="L244" i="1"/>
  <c r="M244" i="1" s="1"/>
  <c r="I245" i="1"/>
  <c r="J245" i="1"/>
  <c r="K245" i="1"/>
  <c r="L245" i="1"/>
  <c r="M245" i="1" s="1"/>
  <c r="I246" i="1"/>
  <c r="J246" i="1"/>
  <c r="K246" i="1"/>
  <c r="L246" i="1"/>
  <c r="M246" i="1" s="1"/>
  <c r="I247" i="1"/>
  <c r="J247" i="1"/>
  <c r="K247" i="1"/>
  <c r="L247" i="1"/>
  <c r="M247" i="1" s="1"/>
  <c r="I248" i="1"/>
  <c r="J248" i="1"/>
  <c r="K248" i="1"/>
  <c r="L248" i="1"/>
  <c r="M248" i="1" s="1"/>
  <c r="I249" i="1"/>
  <c r="J249" i="1"/>
  <c r="K249" i="1"/>
  <c r="L249" i="1"/>
  <c r="M249" i="1" s="1"/>
  <c r="I250" i="1"/>
  <c r="J250" i="1"/>
  <c r="K250" i="1"/>
  <c r="L250" i="1"/>
  <c r="M250" i="1" s="1"/>
  <c r="I251" i="1"/>
  <c r="J251" i="1"/>
  <c r="K251" i="1"/>
  <c r="L251" i="1"/>
  <c r="M251" i="1" s="1"/>
  <c r="I252" i="1"/>
  <c r="J252" i="1"/>
  <c r="K252" i="1"/>
  <c r="L252" i="1"/>
  <c r="M252" i="1" s="1"/>
  <c r="I253" i="1"/>
  <c r="J253" i="1"/>
  <c r="K253" i="1"/>
  <c r="L253" i="1"/>
  <c r="M253" i="1" s="1"/>
  <c r="I254" i="1"/>
  <c r="J254" i="1"/>
  <c r="K254" i="1"/>
  <c r="L254" i="1"/>
  <c r="M254" i="1" s="1"/>
  <c r="I255" i="1"/>
  <c r="J255" i="1"/>
  <c r="K255" i="1"/>
  <c r="L255" i="1"/>
  <c r="M255" i="1" s="1"/>
  <c r="I256" i="1"/>
  <c r="J256" i="1"/>
  <c r="K256" i="1"/>
  <c r="L256" i="1"/>
  <c r="M256" i="1" s="1"/>
  <c r="I257" i="1"/>
  <c r="J257" i="1"/>
  <c r="K257" i="1"/>
  <c r="L257" i="1"/>
  <c r="M257" i="1" s="1"/>
  <c r="I258" i="1"/>
  <c r="J258" i="1"/>
  <c r="K258" i="1"/>
  <c r="L258" i="1"/>
  <c r="M258" i="1" s="1"/>
  <c r="I259" i="1"/>
  <c r="J259" i="1"/>
  <c r="K259" i="1"/>
  <c r="L259" i="1"/>
  <c r="M259" i="1"/>
  <c r="I260" i="1"/>
  <c r="J260" i="1"/>
  <c r="K260" i="1"/>
  <c r="L260" i="1"/>
  <c r="M260" i="1" s="1"/>
  <c r="I261" i="1"/>
  <c r="J261" i="1"/>
  <c r="K261" i="1"/>
  <c r="L261" i="1"/>
  <c r="M261" i="1" s="1"/>
  <c r="I262" i="1"/>
  <c r="J262" i="1"/>
  <c r="K262" i="1"/>
  <c r="L262" i="1"/>
  <c r="M262" i="1" s="1"/>
  <c r="I263" i="1"/>
  <c r="J263" i="1"/>
  <c r="K263" i="1"/>
  <c r="L263" i="1"/>
  <c r="M263" i="1" s="1"/>
  <c r="I264" i="1"/>
  <c r="J264" i="1"/>
  <c r="K264" i="1"/>
  <c r="L264" i="1"/>
  <c r="M264" i="1" s="1"/>
  <c r="I265" i="1"/>
  <c r="J265" i="1"/>
  <c r="K265" i="1"/>
  <c r="L265" i="1"/>
  <c r="M265" i="1" s="1"/>
  <c r="I266" i="1"/>
  <c r="J266" i="1"/>
  <c r="K266" i="1"/>
  <c r="L266" i="1"/>
  <c r="M266" i="1" s="1"/>
  <c r="I267" i="1"/>
  <c r="J267" i="1"/>
  <c r="K267" i="1"/>
  <c r="L267" i="1"/>
  <c r="M267" i="1" s="1"/>
  <c r="I268" i="1"/>
  <c r="J268" i="1"/>
  <c r="K268" i="1"/>
  <c r="L268" i="1"/>
  <c r="M268" i="1" s="1"/>
  <c r="I269" i="1"/>
  <c r="J269" i="1"/>
  <c r="K269" i="1"/>
  <c r="L269" i="1"/>
  <c r="M269" i="1" s="1"/>
  <c r="I270" i="1"/>
  <c r="J270" i="1"/>
  <c r="K270" i="1"/>
  <c r="L270" i="1"/>
  <c r="M270" i="1" s="1"/>
  <c r="I271" i="1"/>
  <c r="J271" i="1"/>
  <c r="K271" i="1"/>
  <c r="L271" i="1"/>
  <c r="M271" i="1" s="1"/>
  <c r="I272" i="1"/>
  <c r="J272" i="1"/>
  <c r="K272" i="1"/>
  <c r="L272" i="1"/>
  <c r="M272" i="1" s="1"/>
  <c r="I273" i="1"/>
  <c r="J273" i="1"/>
  <c r="K273" i="1"/>
  <c r="L273" i="1"/>
  <c r="M273" i="1" s="1"/>
  <c r="I274" i="1"/>
  <c r="J274" i="1"/>
  <c r="K274" i="1"/>
  <c r="L274" i="1"/>
  <c r="M274" i="1" s="1"/>
  <c r="I275" i="1"/>
  <c r="J275" i="1"/>
  <c r="K275" i="1"/>
  <c r="L275" i="1"/>
  <c r="M275" i="1" s="1"/>
  <c r="I276" i="1"/>
  <c r="J276" i="1"/>
  <c r="K276" i="1"/>
  <c r="L276" i="1"/>
  <c r="M276" i="1" s="1"/>
  <c r="I277" i="1"/>
  <c r="J277" i="1"/>
  <c r="K277" i="1"/>
  <c r="L277" i="1"/>
  <c r="M277" i="1" s="1"/>
  <c r="I278" i="1"/>
  <c r="J278" i="1"/>
  <c r="K278" i="1"/>
  <c r="L278" i="1"/>
  <c r="M278" i="1" s="1"/>
  <c r="I279" i="1"/>
  <c r="J279" i="1"/>
  <c r="K279" i="1"/>
  <c r="L279" i="1"/>
  <c r="M279" i="1" s="1"/>
  <c r="I280" i="1"/>
  <c r="J280" i="1"/>
  <c r="K280" i="1"/>
  <c r="L280" i="1"/>
  <c r="M280" i="1" s="1"/>
  <c r="I281" i="1"/>
  <c r="J281" i="1"/>
  <c r="K281" i="1"/>
  <c r="L281" i="1"/>
  <c r="M281" i="1" s="1"/>
  <c r="I282" i="1"/>
  <c r="J282" i="1"/>
  <c r="K282" i="1"/>
  <c r="L282" i="1"/>
  <c r="M282" i="1" s="1"/>
  <c r="I283" i="1"/>
  <c r="J283" i="1"/>
  <c r="K283" i="1"/>
  <c r="L283" i="1"/>
  <c r="M283" i="1" s="1"/>
  <c r="I284" i="1"/>
  <c r="J284" i="1"/>
  <c r="K284" i="1"/>
  <c r="L284" i="1"/>
  <c r="M284" i="1" s="1"/>
  <c r="I285" i="1"/>
  <c r="J285" i="1"/>
  <c r="K285" i="1"/>
  <c r="L285" i="1"/>
  <c r="M285" i="1" s="1"/>
  <c r="I286" i="1"/>
  <c r="J286" i="1"/>
  <c r="K286" i="1"/>
  <c r="L286" i="1"/>
  <c r="M286" i="1" s="1"/>
  <c r="I287" i="1"/>
  <c r="J287" i="1"/>
  <c r="K287" i="1"/>
  <c r="L287" i="1"/>
  <c r="M287" i="1" s="1"/>
  <c r="I288" i="1"/>
  <c r="J288" i="1"/>
  <c r="K288" i="1"/>
  <c r="L288" i="1"/>
  <c r="M288" i="1" s="1"/>
  <c r="I289" i="1"/>
  <c r="J289" i="1"/>
  <c r="K289" i="1"/>
  <c r="L289" i="1"/>
  <c r="M289" i="1" s="1"/>
  <c r="I290" i="1"/>
  <c r="J290" i="1"/>
  <c r="K290" i="1"/>
  <c r="L290" i="1"/>
  <c r="M290" i="1" s="1"/>
  <c r="I291" i="1"/>
  <c r="J291" i="1"/>
  <c r="K291" i="1"/>
  <c r="L291" i="1"/>
  <c r="M291" i="1" s="1"/>
  <c r="L3" i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36" i="1"/>
  <c r="M36" i="1" s="1"/>
  <c r="L37" i="1"/>
  <c r="M37" i="1" s="1"/>
  <c r="L38" i="1"/>
  <c r="M38" i="1" s="1"/>
  <c r="L39" i="1"/>
  <c r="M39" i="1" s="1"/>
  <c r="L40" i="1"/>
  <c r="M40" i="1" s="1"/>
  <c r="L41" i="1"/>
  <c r="M41" i="1" s="1"/>
  <c r="L42" i="1"/>
  <c r="M42" i="1" s="1"/>
  <c r="L43" i="1"/>
  <c r="M43" i="1" s="1"/>
  <c r="L44" i="1"/>
  <c r="M44" i="1" s="1"/>
  <c r="L45" i="1"/>
  <c r="M45" i="1" s="1"/>
  <c r="L46" i="1"/>
  <c r="M46" i="1" s="1"/>
  <c r="L47" i="1"/>
  <c r="M47" i="1" s="1"/>
  <c r="L48" i="1"/>
  <c r="M48" i="1" s="1"/>
  <c r="L49" i="1"/>
  <c r="M49" i="1" s="1"/>
  <c r="L50" i="1"/>
  <c r="M50" i="1" s="1"/>
  <c r="L51" i="1"/>
  <c r="M51" i="1" s="1"/>
  <c r="L52" i="1"/>
  <c r="M52" i="1" s="1"/>
  <c r="L53" i="1"/>
  <c r="M53" i="1" s="1"/>
  <c r="L54" i="1"/>
  <c r="M54" i="1" s="1"/>
  <c r="L55" i="1"/>
  <c r="M55" i="1" s="1"/>
  <c r="L56" i="1"/>
  <c r="M56" i="1" s="1"/>
  <c r="L57" i="1"/>
  <c r="M57" i="1" s="1"/>
  <c r="L58" i="1"/>
  <c r="M58" i="1" s="1"/>
  <c r="L59" i="1"/>
  <c r="M59" i="1" s="1"/>
  <c r="L60" i="1"/>
  <c r="M60" i="1" s="1"/>
  <c r="L61" i="1"/>
  <c r="M61" i="1" s="1"/>
  <c r="L62" i="1"/>
  <c r="M62" i="1" s="1"/>
  <c r="L63" i="1"/>
  <c r="M63" i="1" s="1"/>
  <c r="L64" i="1"/>
  <c r="M64" i="1" s="1"/>
  <c r="L65" i="1"/>
  <c r="M65" i="1" s="1"/>
  <c r="L66" i="1"/>
  <c r="M66" i="1" s="1"/>
  <c r="L67" i="1"/>
  <c r="M67" i="1" s="1"/>
  <c r="L68" i="1"/>
  <c r="M68" i="1" s="1"/>
  <c r="L69" i="1"/>
  <c r="M69" i="1" s="1"/>
  <c r="L70" i="1"/>
  <c r="M70" i="1" s="1"/>
  <c r="L71" i="1"/>
  <c r="M71" i="1" s="1"/>
  <c r="L72" i="1"/>
  <c r="M72" i="1" s="1"/>
  <c r="L73" i="1"/>
  <c r="M73" i="1" s="1"/>
  <c r="L74" i="1"/>
  <c r="M74" i="1" s="1"/>
  <c r="L75" i="1"/>
  <c r="M75" i="1" s="1"/>
  <c r="L76" i="1"/>
  <c r="M76" i="1" s="1"/>
  <c r="L77" i="1"/>
  <c r="M77" i="1" s="1"/>
  <c r="L78" i="1"/>
  <c r="M78" i="1" s="1"/>
  <c r="L79" i="1"/>
  <c r="M79" i="1" s="1"/>
  <c r="L80" i="1"/>
  <c r="M80" i="1" s="1"/>
  <c r="L81" i="1"/>
  <c r="M81" i="1" s="1"/>
  <c r="L82" i="1"/>
  <c r="M82" i="1" s="1"/>
  <c r="L83" i="1"/>
  <c r="M83" i="1" s="1"/>
  <c r="L84" i="1"/>
  <c r="M84" i="1" s="1"/>
  <c r="L85" i="1"/>
  <c r="M85" i="1" s="1"/>
  <c r="L86" i="1"/>
  <c r="M86" i="1" s="1"/>
  <c r="L87" i="1"/>
  <c r="M87" i="1" s="1"/>
  <c r="L88" i="1"/>
  <c r="M88" i="1" s="1"/>
  <c r="L89" i="1"/>
  <c r="M89" i="1" s="1"/>
  <c r="L90" i="1"/>
  <c r="M90" i="1" s="1"/>
  <c r="L91" i="1"/>
  <c r="M91" i="1" s="1"/>
  <c r="L92" i="1"/>
  <c r="M92" i="1" s="1"/>
  <c r="L93" i="1"/>
  <c r="M93" i="1" s="1"/>
  <c r="L94" i="1"/>
  <c r="M94" i="1" s="1"/>
  <c r="L95" i="1"/>
  <c r="M95" i="1" s="1"/>
  <c r="L96" i="1"/>
  <c r="M96" i="1" s="1"/>
  <c r="L97" i="1"/>
  <c r="M97" i="1" s="1"/>
  <c r="L98" i="1"/>
  <c r="M98" i="1" s="1"/>
  <c r="L99" i="1"/>
  <c r="M99" i="1" s="1"/>
  <c r="L100" i="1"/>
  <c r="M100" i="1" s="1"/>
  <c r="L101" i="1"/>
  <c r="M101" i="1" s="1"/>
  <c r="L102" i="1"/>
  <c r="M102" i="1" s="1"/>
  <c r="L103" i="1"/>
  <c r="M103" i="1" s="1"/>
  <c r="L104" i="1"/>
  <c r="M104" i="1" s="1"/>
  <c r="L105" i="1"/>
  <c r="M105" i="1" s="1"/>
  <c r="L106" i="1"/>
  <c r="M106" i="1" s="1"/>
  <c r="L107" i="1"/>
  <c r="M107" i="1" s="1"/>
  <c r="L108" i="1"/>
  <c r="M108" i="1" s="1"/>
  <c r="L109" i="1"/>
  <c r="M109" i="1" s="1"/>
  <c r="L110" i="1"/>
  <c r="M110" i="1" s="1"/>
  <c r="L111" i="1"/>
  <c r="M111" i="1" s="1"/>
  <c r="L112" i="1"/>
  <c r="M112" i="1" s="1"/>
  <c r="L113" i="1"/>
  <c r="M113" i="1" s="1"/>
  <c r="L114" i="1"/>
  <c r="M114" i="1" s="1"/>
  <c r="L115" i="1"/>
  <c r="M115" i="1" s="1"/>
  <c r="L116" i="1"/>
  <c r="M116" i="1" s="1"/>
  <c r="L117" i="1"/>
  <c r="M117" i="1" s="1"/>
  <c r="L118" i="1"/>
  <c r="M118" i="1" s="1"/>
  <c r="L119" i="1"/>
  <c r="M119" i="1" s="1"/>
  <c r="L120" i="1"/>
  <c r="M120" i="1" s="1"/>
  <c r="L121" i="1"/>
  <c r="M121" i="1" s="1"/>
  <c r="L122" i="1"/>
  <c r="M122" i="1" s="1"/>
  <c r="L123" i="1"/>
  <c r="M123" i="1" s="1"/>
  <c r="L124" i="1"/>
  <c r="M124" i="1" s="1"/>
  <c r="L125" i="1"/>
  <c r="M125" i="1" s="1"/>
  <c r="L126" i="1"/>
  <c r="M126" i="1" s="1"/>
  <c r="L127" i="1"/>
  <c r="M127" i="1" s="1"/>
  <c r="L128" i="1"/>
  <c r="M128" i="1" s="1"/>
  <c r="L129" i="1"/>
  <c r="M129" i="1" s="1"/>
  <c r="L130" i="1"/>
  <c r="M130" i="1" s="1"/>
  <c r="L131" i="1"/>
  <c r="M131" i="1" s="1"/>
  <c r="L132" i="1"/>
  <c r="M132" i="1" s="1"/>
  <c r="L133" i="1"/>
  <c r="M133" i="1" s="1"/>
  <c r="L134" i="1"/>
  <c r="M134" i="1" s="1"/>
  <c r="L135" i="1"/>
  <c r="M135" i="1" s="1"/>
  <c r="L136" i="1"/>
  <c r="M136" i="1" s="1"/>
  <c r="L137" i="1"/>
  <c r="M137" i="1" s="1"/>
  <c r="L138" i="1"/>
  <c r="M138" i="1" s="1"/>
  <c r="L139" i="1"/>
  <c r="M139" i="1" s="1"/>
  <c r="L140" i="1"/>
  <c r="M140" i="1" s="1"/>
  <c r="L141" i="1"/>
  <c r="M141" i="1" s="1"/>
  <c r="L142" i="1"/>
  <c r="M142" i="1" s="1"/>
  <c r="L143" i="1"/>
  <c r="M143" i="1" s="1"/>
  <c r="L144" i="1"/>
  <c r="M144" i="1" s="1"/>
  <c r="L145" i="1"/>
  <c r="M145" i="1" s="1"/>
  <c r="L146" i="1"/>
  <c r="M146" i="1" s="1"/>
  <c r="L147" i="1"/>
  <c r="M147" i="1" s="1"/>
  <c r="L148" i="1"/>
  <c r="M148" i="1" s="1"/>
  <c r="L149" i="1"/>
  <c r="M149" i="1" s="1"/>
  <c r="L150" i="1"/>
  <c r="M150" i="1" s="1"/>
  <c r="L151" i="1"/>
  <c r="M151" i="1" s="1"/>
  <c r="L152" i="1"/>
  <c r="M152" i="1" s="1"/>
  <c r="L153" i="1"/>
  <c r="M153" i="1" s="1"/>
  <c r="L154" i="1"/>
  <c r="M154" i="1" s="1"/>
  <c r="L155" i="1"/>
  <c r="M155" i="1" s="1"/>
  <c r="L156" i="1"/>
  <c r="M156" i="1" s="1"/>
  <c r="L157" i="1"/>
  <c r="M157" i="1" s="1"/>
  <c r="L158" i="1"/>
  <c r="M158" i="1" s="1"/>
  <c r="L159" i="1"/>
  <c r="M159" i="1" s="1"/>
  <c r="L160" i="1"/>
  <c r="M160" i="1" s="1"/>
  <c r="L161" i="1"/>
  <c r="M161" i="1" s="1"/>
  <c r="L162" i="1"/>
  <c r="M162" i="1" s="1"/>
  <c r="L163" i="1"/>
  <c r="M163" i="1" s="1"/>
  <c r="L164" i="1"/>
  <c r="M164" i="1" s="1"/>
  <c r="L165" i="1"/>
  <c r="M165" i="1" s="1"/>
  <c r="L166" i="1"/>
  <c r="M166" i="1" s="1"/>
  <c r="L167" i="1"/>
  <c r="M167" i="1" s="1"/>
  <c r="L168" i="1"/>
  <c r="M168" i="1" s="1"/>
  <c r="L169" i="1"/>
  <c r="M169" i="1" s="1"/>
  <c r="L170" i="1"/>
  <c r="M170" i="1" s="1"/>
  <c r="L171" i="1"/>
  <c r="M171" i="1" s="1"/>
  <c r="L2" i="1"/>
  <c r="M2" i="1" s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I159" i="1"/>
  <c r="J159" i="1"/>
  <c r="K159" i="1"/>
  <c r="I160" i="1"/>
  <c r="J160" i="1"/>
  <c r="K160" i="1"/>
  <c r="I161" i="1"/>
  <c r="J161" i="1"/>
  <c r="K161" i="1"/>
  <c r="I162" i="1"/>
  <c r="J162" i="1"/>
  <c r="K162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I112" i="1"/>
  <c r="J112" i="1"/>
  <c r="K112" i="1"/>
  <c r="I113" i="1"/>
  <c r="J113" i="1"/>
  <c r="K113" i="1"/>
  <c r="I114" i="1"/>
  <c r="J114" i="1"/>
  <c r="K114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K2" i="1"/>
  <c r="K3" i="1"/>
  <c r="K4" i="1"/>
  <c r="K5" i="1"/>
  <c r="K6" i="1"/>
  <c r="K7" i="1"/>
  <c r="K8" i="1"/>
  <c r="K9" i="1"/>
  <c r="K10" i="1"/>
  <c r="K11" i="1"/>
  <c r="K12" i="1"/>
  <c r="J2" i="1"/>
  <c r="J3" i="1"/>
  <c r="J4" i="1"/>
  <c r="J5" i="1"/>
  <c r="J6" i="1"/>
  <c r="J7" i="1"/>
  <c r="J8" i="1"/>
  <c r="J9" i="1"/>
  <c r="J10" i="1"/>
  <c r="J11" i="1"/>
  <c r="J12" i="1"/>
  <c r="I2" i="1"/>
  <c r="I3" i="1"/>
  <c r="I4" i="1"/>
  <c r="I5" i="1"/>
  <c r="I6" i="1"/>
  <c r="I7" i="1"/>
  <c r="I8" i="1"/>
  <c r="I9" i="1"/>
  <c r="I10" i="1"/>
  <c r="I11" i="1"/>
  <c r="I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37" i="1"/>
  <c r="I100" i="1" l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44" i="1"/>
  <c r="I43" i="1"/>
  <c r="I42" i="1"/>
  <c r="I41" i="1"/>
  <c r="I40" i="1"/>
  <c r="I39" i="1"/>
  <c r="I38" i="1"/>
</calcChain>
</file>

<file path=xl/sharedStrings.xml><?xml version="1.0" encoding="utf-8"?>
<sst xmlns="http://schemas.openxmlformats.org/spreadsheetml/2006/main" count="2940" uniqueCount="1036">
  <si>
    <t>1J04 WTT</t>
  </si>
  <si>
    <t>0126½ (0127)</t>
  </si>
  <si>
    <t>0130½ (0130)</t>
  </si>
  <si>
    <t>SE</t>
  </si>
  <si>
    <t>1J06 WTT</t>
  </si>
  <si>
    <t>0132½ (0133)</t>
  </si>
  <si>
    <t>0136½ (0136)</t>
  </si>
  <si>
    <t>1L05 WTT</t>
  </si>
  <si>
    <t>0134 (0134)</t>
  </si>
  <si>
    <t>0138 (0138)</t>
  </si>
  <si>
    <t>1J34 WTT</t>
  </si>
  <si>
    <t>0142 (0142)</t>
  </si>
  <si>
    <t>1H05 WTT</t>
  </si>
  <si>
    <t>0146 (0146)</t>
  </si>
  <si>
    <t>1J36 WTT</t>
  </si>
  <si>
    <t>0144 (0144)</t>
  </si>
  <si>
    <t>0148 (0148)</t>
  </si>
  <si>
    <t>1F06 WTT</t>
  </si>
  <si>
    <t>0150 (0150)</t>
  </si>
  <si>
    <t>Faversham</t>
  </si>
  <si>
    <t>0154 (0154)</t>
  </si>
  <si>
    <t>1F08 WTT</t>
  </si>
  <si>
    <t>0200½ (0201)</t>
  </si>
  <si>
    <t>0204½ (0204)</t>
  </si>
  <si>
    <t>1N02 WTT</t>
  </si>
  <si>
    <t>0208 (0208)</t>
  </si>
  <si>
    <t>1N01 WTT</t>
  </si>
  <si>
    <t>0216 (0216)</t>
  </si>
  <si>
    <t>1N04 WTT</t>
  </si>
  <si>
    <t>0238 (0238)</t>
  </si>
  <si>
    <t>1N03 WTT</t>
  </si>
  <si>
    <t>0246 (0246)</t>
  </si>
  <si>
    <t>1N06 WTT</t>
  </si>
  <si>
    <t>0308 (0308)</t>
  </si>
  <si>
    <t>1N05 WTT</t>
  </si>
  <si>
    <t>0316 (0316)</t>
  </si>
  <si>
    <t>1N08 WTT</t>
  </si>
  <si>
    <t>0338 (0338)</t>
  </si>
  <si>
    <t>1N07 WTT</t>
  </si>
  <si>
    <t>0346 (0346)</t>
  </si>
  <si>
    <t>1N10 WTT</t>
  </si>
  <si>
    <t>0408 (0408)</t>
  </si>
  <si>
    <t>1N09 WTT</t>
  </si>
  <si>
    <t>0416 (0416)</t>
  </si>
  <si>
    <t>1N12 WTT</t>
  </si>
  <si>
    <t>0438 (0438)</t>
  </si>
  <si>
    <t>1N11 WTT</t>
  </si>
  <si>
    <t>0446 (0446)</t>
  </si>
  <si>
    <t>1N14 WTT</t>
  </si>
  <si>
    <t>0508 (0508)</t>
  </si>
  <si>
    <t>1N13 WTT</t>
  </si>
  <si>
    <t>0516 (0516)</t>
  </si>
  <si>
    <t>1J08 WTT</t>
  </si>
  <si>
    <t>0538 (0538)</t>
  </si>
  <si>
    <t>0542 (0542)</t>
  </si>
  <si>
    <t>1J03 WTT</t>
  </si>
  <si>
    <t>0543½ (0544)</t>
  </si>
  <si>
    <t>0544½ (0544)</t>
  </si>
  <si>
    <t>1L06 WTT</t>
  </si>
  <si>
    <t>0610 (0610)</t>
  </si>
  <si>
    <t>0614 (0614)</t>
  </si>
  <si>
    <t>1J05 WTT</t>
  </si>
  <si>
    <t>Ramsgate</t>
  </si>
  <si>
    <t>0617 (0617)</t>
  </si>
  <si>
    <t>1F07 WTT</t>
  </si>
  <si>
    <t>0633 (0633)</t>
  </si>
  <si>
    <t>Broadstairs</t>
  </si>
  <si>
    <t>0637 (0637)</t>
  </si>
  <si>
    <t>1H06 WTT</t>
  </si>
  <si>
    <t>0638 (0638)</t>
  </si>
  <si>
    <t>0642 (0642)</t>
  </si>
  <si>
    <t>1J07 WTT</t>
  </si>
  <si>
    <t>0644½ (0645)</t>
  </si>
  <si>
    <t>0648½ (0648)</t>
  </si>
  <si>
    <t>1L07 WTT</t>
  </si>
  <si>
    <t>0651 (0651)</t>
  </si>
  <si>
    <t>0655 (0655)</t>
  </si>
  <si>
    <t>1F09 WTT</t>
  </si>
  <si>
    <t>0659 (0659)</t>
  </si>
  <si>
    <t>0700 (0700)</t>
  </si>
  <si>
    <t>1H08 WTT</t>
  </si>
  <si>
    <t>0703 (0703)</t>
  </si>
  <si>
    <t>1J01 WTT</t>
  </si>
  <si>
    <t>0704 (0704)</t>
  </si>
  <si>
    <t>Margate</t>
  </si>
  <si>
    <t>0708 (0708)</t>
  </si>
  <si>
    <t>1J10 WTT</t>
  </si>
  <si>
    <t>0710 (0710)</t>
  </si>
  <si>
    <t>0714 (0714)</t>
  </si>
  <si>
    <t>1H07 WTT</t>
  </si>
  <si>
    <t>0712 (0712)</t>
  </si>
  <si>
    <t>0716 (0716)</t>
  </si>
  <si>
    <t>1H10 WTT</t>
  </si>
  <si>
    <t>0717 (0717)</t>
  </si>
  <si>
    <t>0721 (0721)</t>
  </si>
  <si>
    <t>1J09 WTT</t>
  </si>
  <si>
    <t>0719 (0719)</t>
  </si>
  <si>
    <t>0723 (0723)</t>
  </si>
  <si>
    <t>1F10 WTT</t>
  </si>
  <si>
    <t>0724 (0724)</t>
  </si>
  <si>
    <t>0728 (0728)</t>
  </si>
  <si>
    <t>1F11 WTT</t>
  </si>
  <si>
    <t>0729 (0729)</t>
  </si>
  <si>
    <t>0731 (0731)</t>
  </si>
  <si>
    <t>1L10 WTT</t>
  </si>
  <si>
    <t>0735 (0735)</t>
  </si>
  <si>
    <t>1H09 WTT</t>
  </si>
  <si>
    <t>0737 (0737)</t>
  </si>
  <si>
    <t>1F12 WTT</t>
  </si>
  <si>
    <t>0738 (0738)</t>
  </si>
  <si>
    <t>0742 (0742)</t>
  </si>
  <si>
    <t>1J11 WTT</t>
  </si>
  <si>
    <t>0744½ (0745)</t>
  </si>
  <si>
    <t>0748½ (0748)</t>
  </si>
  <si>
    <t>1J12 WTT</t>
  </si>
  <si>
    <t>0745 (0745)</t>
  </si>
  <si>
    <t>0749 (0749)</t>
  </si>
  <si>
    <t>1H11 WTT</t>
  </si>
  <si>
    <t>0751 (0751)</t>
  </si>
  <si>
    <t>0755 (0755)</t>
  </si>
  <si>
    <t>1L12 WTT</t>
  </si>
  <si>
    <t>0752 (0752)</t>
  </si>
  <si>
    <t>0756 (0756)</t>
  </si>
  <si>
    <t>1F13 WTT</t>
  </si>
  <si>
    <t>0759 (0759)</t>
  </si>
  <si>
    <t>0803 (0803)</t>
  </si>
  <si>
    <t>1H12 WTT</t>
  </si>
  <si>
    <t>1L13 WTT</t>
  </si>
  <si>
    <t>0805 (0805)</t>
  </si>
  <si>
    <t>0809 (0809)</t>
  </si>
  <si>
    <t>1J14 WTT</t>
  </si>
  <si>
    <t>0810 (0810)</t>
  </si>
  <si>
    <t>0814 (0814)</t>
  </si>
  <si>
    <t>1H13 WTT</t>
  </si>
  <si>
    <t>0812 (0812)</t>
  </si>
  <si>
    <t>0816 (0816)</t>
  </si>
  <si>
    <t>1H14 WTT</t>
  </si>
  <si>
    <t>0817 (0817)</t>
  </si>
  <si>
    <t>0821 (0821)</t>
  </si>
  <si>
    <t>1J13 WTT</t>
  </si>
  <si>
    <t>0819 (0819)</t>
  </si>
  <si>
    <t>0823 (0823)</t>
  </si>
  <si>
    <t>1F14 WTT</t>
  </si>
  <si>
    <t>0824 (0824)</t>
  </si>
  <si>
    <t>0828 (0828)</t>
  </si>
  <si>
    <t>1L15 WTT</t>
  </si>
  <si>
    <t>0826 (0826)</t>
  </si>
  <si>
    <t>0830 (0830)</t>
  </si>
  <si>
    <t>1L14 WTT</t>
  </si>
  <si>
    <t>0831 (0831)</t>
  </si>
  <si>
    <t>0835 (0835)</t>
  </si>
  <si>
    <t>1F15 WTT</t>
  </si>
  <si>
    <t>0833 (0833)</t>
  </si>
  <si>
    <t>0837 (0837)</t>
  </si>
  <si>
    <t>1F16 WTT</t>
  </si>
  <si>
    <t>0838 (0838)</t>
  </si>
  <si>
    <t>0842 (0842)</t>
  </si>
  <si>
    <t>1J15 WTT</t>
  </si>
  <si>
    <t>0844½ (0845)</t>
  </si>
  <si>
    <t>0848½ (0848)</t>
  </si>
  <si>
    <t>1J16 WTT</t>
  </si>
  <si>
    <t>0845 (0845)</t>
  </si>
  <si>
    <t>0849 (0849)</t>
  </si>
  <si>
    <t>1H15 WTT</t>
  </si>
  <si>
    <t>0851 (0851)</t>
  </si>
  <si>
    <t>0855 (0855)</t>
  </si>
  <si>
    <t>1L16 WTT</t>
  </si>
  <si>
    <t>0852 (0852)</t>
  </si>
  <si>
    <t>0856 (0856)</t>
  </si>
  <si>
    <t>1F17 WTT</t>
  </si>
  <si>
    <t>0858 (0858)</t>
  </si>
  <si>
    <t>0902 (0902)</t>
  </si>
  <si>
    <t>1H16 WTT</t>
  </si>
  <si>
    <t>0859 (0859)</t>
  </si>
  <si>
    <t>0903 (0903)</t>
  </si>
  <si>
    <t>ID</t>
  </si>
  <si>
    <t>ARRTIME</t>
  </si>
  <si>
    <t>DEPTIME</t>
  </si>
  <si>
    <t>TOC</t>
  </si>
  <si>
    <t>PLAT&amp;LINE</t>
  </si>
  <si>
    <t>1H89 WTT</t>
  </si>
  <si>
    <t>0026 (0026)</t>
  </si>
  <si>
    <t>0030 (0030)</t>
  </si>
  <si>
    <t>1L92 WTT</t>
  </si>
  <si>
    <t>0026½ (0027)</t>
  </si>
  <si>
    <t>0030½ (0030)</t>
  </si>
  <si>
    <t>1H91 WTT</t>
  </si>
  <si>
    <t>0031 (0031)</t>
  </si>
  <si>
    <t>0035 (0035)</t>
  </si>
  <si>
    <t>1H92 WTT</t>
  </si>
  <si>
    <t>0032½ (0033)</t>
  </si>
  <si>
    <t>0036½ (0036)</t>
  </si>
  <si>
    <t>1L91 WTT</t>
  </si>
  <si>
    <t>0040 (0040)</t>
  </si>
  <si>
    <t>1L94 WTT</t>
  </si>
  <si>
    <t>0038 (0038)</t>
  </si>
  <si>
    <t>0042 (0042)</t>
  </si>
  <si>
    <t>1H93 WTT</t>
  </si>
  <si>
    <t>0041 (0041)</t>
  </si>
  <si>
    <t>0045 (0045)</t>
  </si>
  <si>
    <t>1H94 WTT</t>
  </si>
  <si>
    <t>0046 (0046)</t>
  </si>
  <si>
    <t>1L93 WTT</t>
  </si>
  <si>
    <t>0050 (0050)</t>
  </si>
  <si>
    <t>1J94 WTT</t>
  </si>
  <si>
    <t>0046½ (0047)</t>
  </si>
  <si>
    <t>0050½ (0050)</t>
  </si>
  <si>
    <t>1L95 WTT</t>
  </si>
  <si>
    <t>0051 (0051)</t>
  </si>
  <si>
    <t>0055 (0055)</t>
  </si>
  <si>
    <t>1L98 WTT</t>
  </si>
  <si>
    <t>0053 (0053)</t>
  </si>
  <si>
    <t>0057 (0057)</t>
  </si>
  <si>
    <t>1H95 WTT</t>
  </si>
  <si>
    <t>0056 (0056)</t>
  </si>
  <si>
    <t>0100 (0100)</t>
  </si>
  <si>
    <t>1L00 WTT</t>
  </si>
  <si>
    <t>0056½ (0057)</t>
  </si>
  <si>
    <t>0100½ (0100)</t>
  </si>
  <si>
    <t>1L97 WTT</t>
  </si>
  <si>
    <t>0101 (0101)</t>
  </si>
  <si>
    <t>0105 (0105)</t>
  </si>
  <si>
    <t>1J96 WTT</t>
  </si>
  <si>
    <t>0102½ (0103)</t>
  </si>
  <si>
    <t>0106½ (0106)</t>
  </si>
  <si>
    <t>1H97 WTT</t>
  </si>
  <si>
    <t>0106 (0106)</t>
  </si>
  <si>
    <t>0110 (0110)</t>
  </si>
  <si>
    <t>1H98 WTT</t>
  </si>
  <si>
    <t>0108 (0108)</t>
  </si>
  <si>
    <t>0112 (0112)</t>
  </si>
  <si>
    <t>1L01 WTT</t>
  </si>
  <si>
    <t>0116 (0116)</t>
  </si>
  <si>
    <t>1J98 WTT</t>
  </si>
  <si>
    <t>1J02 WTT</t>
  </si>
  <si>
    <t>0116½ (0117)</t>
  </si>
  <si>
    <t>0120½ (0120)</t>
  </si>
  <si>
    <t>1H03 WTT</t>
  </si>
  <si>
    <t>0118 (0118)</t>
  </si>
  <si>
    <t>0122 (0122)</t>
  </si>
  <si>
    <t>1F02 WTT</t>
  </si>
  <si>
    <t>0122½ (0123)</t>
  </si>
  <si>
    <t>0126½ (0126)</t>
  </si>
  <si>
    <t>1L03 WTT</t>
  </si>
  <si>
    <t>0125 (0125)</t>
  </si>
  <si>
    <t>0129 (0129)</t>
  </si>
  <si>
    <t>1H86 WTT</t>
  </si>
  <si>
    <t>2357 (2357)</t>
  </si>
  <si>
    <t>0001 (0001)</t>
  </si>
  <si>
    <t>1L85 WTT</t>
  </si>
  <si>
    <t>0005 (0005)</t>
  </si>
  <si>
    <t>1L86 WTT</t>
  </si>
  <si>
    <t>0001½ (0002)</t>
  </si>
  <si>
    <t>0005½ (0005)</t>
  </si>
  <si>
    <t>1H85 WTT</t>
  </si>
  <si>
    <t>0010 (0010)</t>
  </si>
  <si>
    <t>1H88 WTT</t>
  </si>
  <si>
    <t>0008 (0008)</t>
  </si>
  <si>
    <t>0012 (0012)</t>
  </si>
  <si>
    <t>1H87 WTT</t>
  </si>
  <si>
    <t>0011 (0011)</t>
  </si>
  <si>
    <t>0015 (0015)</t>
  </si>
  <si>
    <t>1L88 WTT</t>
  </si>
  <si>
    <t>0016 (0016)</t>
  </si>
  <si>
    <t>1L87 WTT</t>
  </si>
  <si>
    <t>0020 (0020)</t>
  </si>
  <si>
    <t>1L90 WTT</t>
  </si>
  <si>
    <t>0016½ (0017)</t>
  </si>
  <si>
    <t>0020½ (0020)</t>
  </si>
  <si>
    <t>1L89 WTT</t>
  </si>
  <si>
    <t>0021 (0021)</t>
  </si>
  <si>
    <t>0025 (0025)</t>
  </si>
  <si>
    <t>1H90 WTT</t>
  </si>
  <si>
    <t>0023 (0023)</t>
  </si>
  <si>
    <t>0027 (0027)</t>
  </si>
  <si>
    <t>1L17 WTT</t>
  </si>
  <si>
    <t>0905 (0905)</t>
  </si>
  <si>
    <t>0909 (0909)</t>
  </si>
  <si>
    <t>1J18 WTT</t>
  </si>
  <si>
    <t>0910 (0910)</t>
  </si>
  <si>
    <t>0914 (0914)</t>
  </si>
  <si>
    <t>1H17 WTT</t>
  </si>
  <si>
    <t>0912 (0912)</t>
  </si>
  <si>
    <t>0916 (0916)</t>
  </si>
  <si>
    <t>1H18 WTT</t>
  </si>
  <si>
    <t>0917 (0917)</t>
  </si>
  <si>
    <t>0921 (0921)</t>
  </si>
  <si>
    <t>1J17 WTT</t>
  </si>
  <si>
    <t>0919 (0919)</t>
  </si>
  <si>
    <t>0923 (0923)</t>
  </si>
  <si>
    <t>1F18 WTT</t>
  </si>
  <si>
    <t>0924 (0924)</t>
  </si>
  <si>
    <t>0928 (0928)</t>
  </si>
  <si>
    <t>1L19 WTT</t>
  </si>
  <si>
    <t>0926 (0926)</t>
  </si>
  <si>
    <t>0930 (0930)</t>
  </si>
  <si>
    <t>1L18 WTT</t>
  </si>
  <si>
    <t>0931 (0931)</t>
  </si>
  <si>
    <t>0935 (0935)</t>
  </si>
  <si>
    <t>1F19 WTT</t>
  </si>
  <si>
    <t>0933 (0933)</t>
  </si>
  <si>
    <t>0937 (0937)</t>
  </si>
  <si>
    <t>1F20 WTT</t>
  </si>
  <si>
    <t>0938 (0938)</t>
  </si>
  <si>
    <t>0942 (0942)</t>
  </si>
  <si>
    <t>1J19 WTT</t>
  </si>
  <si>
    <t>0944½ (0945)</t>
  </si>
  <si>
    <t>0948½ (0948)</t>
  </si>
  <si>
    <t>1J20 WTT</t>
  </si>
  <si>
    <t>0945 (0945)</t>
  </si>
  <si>
    <t>0949 (0949)</t>
  </si>
  <si>
    <t>1H19 WTT</t>
  </si>
  <si>
    <t>0951 (0951)</t>
  </si>
  <si>
    <t>0955 (0955)</t>
  </si>
  <si>
    <t>1L20 WTT</t>
  </si>
  <si>
    <t>0952 (0952)</t>
  </si>
  <si>
    <t>0956 (0956)</t>
  </si>
  <si>
    <t>1F21 WTT</t>
  </si>
  <si>
    <t>0958 (0958)</t>
  </si>
  <si>
    <t>1002 (1002)</t>
  </si>
  <si>
    <t>1H20 WTT</t>
  </si>
  <si>
    <t>0959 (0959)</t>
  </si>
  <si>
    <t>1003 (1003)</t>
  </si>
  <si>
    <t>1L21 WTT</t>
  </si>
  <si>
    <t>1005 (1005)</t>
  </si>
  <si>
    <t>1009 (1009)</t>
  </si>
  <si>
    <t>1J22 WTT</t>
  </si>
  <si>
    <t>1010 (1010)</t>
  </si>
  <si>
    <t>1014 (1014)</t>
  </si>
  <si>
    <t>1H21 WTT</t>
  </si>
  <si>
    <t>1012 (1012)</t>
  </si>
  <si>
    <t>1016 (1016)</t>
  </si>
  <si>
    <t>1H22 WTT</t>
  </si>
  <si>
    <t>1017 (1017)</t>
  </si>
  <si>
    <t>1021 (1021)</t>
  </si>
  <si>
    <t>1J21 WTT</t>
  </si>
  <si>
    <t>1019 (1019)</t>
  </si>
  <si>
    <t>1023 (1023)</t>
  </si>
  <si>
    <t>1F22 WTT</t>
  </si>
  <si>
    <t>1024 (1024)</t>
  </si>
  <si>
    <t>1028 (1028)</t>
  </si>
  <si>
    <t>1L23 WTT</t>
  </si>
  <si>
    <t>1026 (1026)</t>
  </si>
  <si>
    <t>1030 (1030)</t>
  </si>
  <si>
    <t>1L22 WTT</t>
  </si>
  <si>
    <t>1031 (1031)</t>
  </si>
  <si>
    <t>1035 (1035)</t>
  </si>
  <si>
    <t>1F23 WTT</t>
  </si>
  <si>
    <t>1033 (1033)</t>
  </si>
  <si>
    <t>1037 (1037)</t>
  </si>
  <si>
    <t>1F24 WTT</t>
  </si>
  <si>
    <t>1038 (1038)</t>
  </si>
  <si>
    <t>1042 (1042)</t>
  </si>
  <si>
    <t>1J23 WTT</t>
  </si>
  <si>
    <t>1044½ (1045)</t>
  </si>
  <si>
    <t>1048½ (1048)</t>
  </si>
  <si>
    <t>1J24 WTT</t>
  </si>
  <si>
    <t>1045 (1045)</t>
  </si>
  <si>
    <t>1049 (1049)</t>
  </si>
  <si>
    <t>1H23 WTT</t>
  </si>
  <si>
    <t>1051 (1051)</t>
  </si>
  <si>
    <t>1055 (1055)</t>
  </si>
  <si>
    <t>1L24 WTT</t>
  </si>
  <si>
    <t>1052 (1052)</t>
  </si>
  <si>
    <t>1056 (1056)</t>
  </si>
  <si>
    <t>1F25 WTT</t>
  </si>
  <si>
    <t>1058 (1058)</t>
  </si>
  <si>
    <t>1102 (1102)</t>
  </si>
  <si>
    <t>1H24 WTT</t>
  </si>
  <si>
    <t>1059 (1059)</t>
  </si>
  <si>
    <t>1103 (1103)</t>
  </si>
  <si>
    <t>1L25 WTT</t>
  </si>
  <si>
    <t>1105 (1105)</t>
  </si>
  <si>
    <t>1109 (1109)</t>
  </si>
  <si>
    <t>1J26 WTT</t>
  </si>
  <si>
    <t>1110 (1110)</t>
  </si>
  <si>
    <t>1114 (1114)</t>
  </si>
  <si>
    <t>1H25 WTT</t>
  </si>
  <si>
    <t>1112 (1112)</t>
  </si>
  <si>
    <t>1116 (1116)</t>
  </si>
  <si>
    <t>1H26 WTT</t>
  </si>
  <si>
    <t>1117 (1117)</t>
  </si>
  <si>
    <t>1121 (1121)</t>
  </si>
  <si>
    <t>1J25 WTT</t>
  </si>
  <si>
    <t>1119 (1119)</t>
  </si>
  <si>
    <t>1123 (1123)</t>
  </si>
  <si>
    <t>1F26 WTT</t>
  </si>
  <si>
    <t>1124 (1124)</t>
  </si>
  <si>
    <t>1128 (1128)</t>
  </si>
  <si>
    <t>1L27 WTT</t>
  </si>
  <si>
    <t>1126 (1126)</t>
  </si>
  <si>
    <t>1130 (1130)</t>
  </si>
  <si>
    <t>1L26 WTT</t>
  </si>
  <si>
    <t>1131 (1131)</t>
  </si>
  <si>
    <t>1135 (1135)</t>
  </si>
  <si>
    <t>1F27 WTT</t>
  </si>
  <si>
    <t>1133 (1133)</t>
  </si>
  <si>
    <t>1137 (1137)</t>
  </si>
  <si>
    <t>1F28 WTT</t>
  </si>
  <si>
    <t>1138 (1138)</t>
  </si>
  <si>
    <t>1142 (1142)</t>
  </si>
  <si>
    <t>1J27 WTT</t>
  </si>
  <si>
    <t>1144½ (1145)</t>
  </si>
  <si>
    <t>1148½ (1148)</t>
  </si>
  <si>
    <t>1J28 WTT</t>
  </si>
  <si>
    <t>1145 (1145)</t>
  </si>
  <si>
    <t>1149 (1149)</t>
  </si>
  <si>
    <t>1H27 WTT</t>
  </si>
  <si>
    <t>1151 (1151)</t>
  </si>
  <si>
    <t>1155 (1155)</t>
  </si>
  <si>
    <t>1L28 WTT</t>
  </si>
  <si>
    <t>1152 (1152)</t>
  </si>
  <si>
    <t>1156 (1156)</t>
  </si>
  <si>
    <t>1F29 WTT</t>
  </si>
  <si>
    <t>1158 (1158)</t>
  </si>
  <si>
    <t>1202 (1202)</t>
  </si>
  <si>
    <t>1H28 WTT</t>
  </si>
  <si>
    <t>1159 (1159)</t>
  </si>
  <si>
    <t>1203 (1203)</t>
  </si>
  <si>
    <t>1L29 WTT</t>
  </si>
  <si>
    <t>1205 (1205)</t>
  </si>
  <si>
    <t>1209 (1209)</t>
  </si>
  <si>
    <t>1J30 WTT</t>
  </si>
  <si>
    <t>1210 (1210)</t>
  </si>
  <si>
    <t>1214 (1214)</t>
  </si>
  <si>
    <t>1H29 WTT</t>
  </si>
  <si>
    <t>1212 (1212)</t>
  </si>
  <si>
    <t>1216 (1216)</t>
  </si>
  <si>
    <t>1H30 WTT</t>
  </si>
  <si>
    <t>1217 (1217)</t>
  </si>
  <si>
    <t>1221 (1221)</t>
  </si>
  <si>
    <t>1J29 WTT</t>
  </si>
  <si>
    <t>1219 (1219)</t>
  </si>
  <si>
    <t>1223 (1223)</t>
  </si>
  <si>
    <t>1F30 WTT</t>
  </si>
  <si>
    <t>1224 (1224)</t>
  </si>
  <si>
    <t>1228 (1228)</t>
  </si>
  <si>
    <t>1L31 WTT</t>
  </si>
  <si>
    <t>1226 (1226)</t>
  </si>
  <si>
    <t>1230 (1230)</t>
  </si>
  <si>
    <t>1L30 WTT</t>
  </si>
  <si>
    <t>1231 (1231)</t>
  </si>
  <si>
    <t>1235 (1235)</t>
  </si>
  <si>
    <t>1F31 WTT</t>
  </si>
  <si>
    <t>1233 (1233)</t>
  </si>
  <si>
    <t>1237 (1237)</t>
  </si>
  <si>
    <t>1F32 WTT</t>
  </si>
  <si>
    <t>1238 (1238)</t>
  </si>
  <si>
    <t>1242 (1242)</t>
  </si>
  <si>
    <t>1J31 WTT</t>
  </si>
  <si>
    <t>1244½ (1245)</t>
  </si>
  <si>
    <t>1248½ (1248)</t>
  </si>
  <si>
    <t>1J32 WTT</t>
  </si>
  <si>
    <t>1245 (1245)</t>
  </si>
  <si>
    <t>1249 (1249)</t>
  </si>
  <si>
    <t>1H31 WTT</t>
  </si>
  <si>
    <t>1251 (1251)</t>
  </si>
  <si>
    <t>1255 (1255)</t>
  </si>
  <si>
    <t>1L32 WTT</t>
  </si>
  <si>
    <t>1252 (1252)</t>
  </si>
  <si>
    <t>1256 (1256)</t>
  </si>
  <si>
    <t>1F33 WTT</t>
  </si>
  <si>
    <t>1258 (1258)</t>
  </si>
  <si>
    <t>1302 (1302)</t>
  </si>
  <si>
    <t>1H32 WTT</t>
  </si>
  <si>
    <t>1259 (1259)</t>
  </si>
  <si>
    <t>1303 (1303)</t>
  </si>
  <si>
    <t>1L33 WTT</t>
  </si>
  <si>
    <t>1305 (1305)</t>
  </si>
  <si>
    <t>1309 (1309)</t>
  </si>
  <si>
    <t>1310 (1310)</t>
  </si>
  <si>
    <t>1314 (1314)</t>
  </si>
  <si>
    <t>1H33 WTT</t>
  </si>
  <si>
    <t>1312 (1312)</t>
  </si>
  <si>
    <t>1316 (1316)</t>
  </si>
  <si>
    <t>1H34 WTT</t>
  </si>
  <si>
    <t>1317 (1317)</t>
  </si>
  <si>
    <t>1321 (1321)</t>
  </si>
  <si>
    <t>1J33 WTT</t>
  </si>
  <si>
    <t>1319 (1319)</t>
  </si>
  <si>
    <t>1323 (1323)</t>
  </si>
  <si>
    <t>1F34 WTT</t>
  </si>
  <si>
    <t>1324 (1324)</t>
  </si>
  <si>
    <t>1328 (1328)</t>
  </si>
  <si>
    <t>1L35 WTT</t>
  </si>
  <si>
    <t>1326 (1326)</t>
  </si>
  <si>
    <t>1330 (1330)</t>
  </si>
  <si>
    <t>PLAT</t>
  </si>
  <si>
    <t>working column</t>
  </si>
  <si>
    <t>Plat 3, DNCTRL</t>
  </si>
  <si>
    <t>Plat 4, DNCTRL</t>
  </si>
  <si>
    <t>Plat 2, UPCTRL</t>
  </si>
  <si>
    <t>Plat 1, UPCTRL</t>
  </si>
  <si>
    <t>1L34 WTT</t>
  </si>
  <si>
    <t>1331 (1331)</t>
  </si>
  <si>
    <t>1335 (1335)</t>
  </si>
  <si>
    <t>1F35 WTT</t>
  </si>
  <si>
    <t>1333 (1333)</t>
  </si>
  <si>
    <t>1337 (1337)</t>
  </si>
  <si>
    <t>1F36 WTT</t>
  </si>
  <si>
    <t>1338 (1338)</t>
  </si>
  <si>
    <t>1342 (1342)</t>
  </si>
  <si>
    <t>1J35 WTT</t>
  </si>
  <si>
    <t>1344½ (1345)</t>
  </si>
  <si>
    <t>1348½ (1348)</t>
  </si>
  <si>
    <t>1345 (1345)</t>
  </si>
  <si>
    <t>1349 (1349)</t>
  </si>
  <si>
    <t>1H35 WTT</t>
  </si>
  <si>
    <t>1351 (1351)</t>
  </si>
  <si>
    <t>1355 (1355)</t>
  </si>
  <si>
    <t>1L36 WTT</t>
  </si>
  <si>
    <t>1352 (1352)</t>
  </si>
  <si>
    <t>1356 (1356)</t>
  </si>
  <si>
    <t>1F37 WTT</t>
  </si>
  <si>
    <t>1358 (1358)</t>
  </si>
  <si>
    <t>1402 (1402)</t>
  </si>
  <si>
    <t>1H36 WTT</t>
  </si>
  <si>
    <t>1359 (1359)</t>
  </si>
  <si>
    <t>1403 (1403)</t>
  </si>
  <si>
    <t>1L37 WTT</t>
  </si>
  <si>
    <t>1405 (1405)</t>
  </si>
  <si>
    <t>1409 (1409)</t>
  </si>
  <si>
    <t>1J38 WTT</t>
  </si>
  <si>
    <t>1410 (1410)</t>
  </si>
  <si>
    <t>1414 (1414)</t>
  </si>
  <si>
    <t>1H37 WTT</t>
  </si>
  <si>
    <t>1412 (1412)</t>
  </si>
  <si>
    <t>1416 (1416)</t>
  </si>
  <si>
    <t>1H38 WTT</t>
  </si>
  <si>
    <t>1417 (1417)</t>
  </si>
  <si>
    <t>1421 (1421)</t>
  </si>
  <si>
    <t>1J37 WTT</t>
  </si>
  <si>
    <t>1419 (1419)</t>
  </si>
  <si>
    <t>1423 (1423)</t>
  </si>
  <si>
    <t>1F38 WTT</t>
  </si>
  <si>
    <t>1424 (1424)</t>
  </si>
  <si>
    <t>1428 (1428)</t>
  </si>
  <si>
    <t>1L39 WTT</t>
  </si>
  <si>
    <t>1426 (1426)</t>
  </si>
  <si>
    <t>1430 (1430)</t>
  </si>
  <si>
    <t>1L38 WTT</t>
  </si>
  <si>
    <t>1431 (1431)</t>
  </si>
  <si>
    <t>1435 (1435)</t>
  </si>
  <si>
    <t>1F39 WTT</t>
  </si>
  <si>
    <t>1433 (1433)</t>
  </si>
  <si>
    <t>1437 (1437)</t>
  </si>
  <si>
    <t>1F40 WTT</t>
  </si>
  <si>
    <t>1438 (1438)</t>
  </si>
  <si>
    <t>1442 (1442)</t>
  </si>
  <si>
    <t>1J39 WTT</t>
  </si>
  <si>
    <t>1444½ (1445)</t>
  </si>
  <si>
    <t>1448½ (1448)</t>
  </si>
  <si>
    <t>1J40 WTT</t>
  </si>
  <si>
    <t>1445 (1445)</t>
  </si>
  <si>
    <t>1449 (1449)</t>
  </si>
  <si>
    <t>1H39 WTT</t>
  </si>
  <si>
    <t>1451 (1451)</t>
  </si>
  <si>
    <t>1455 (1455)</t>
  </si>
  <si>
    <t>1L40 WTT</t>
  </si>
  <si>
    <t>1452 (1452)</t>
  </si>
  <si>
    <t>1456 (1456)</t>
  </si>
  <si>
    <t>1F41 WTT</t>
  </si>
  <si>
    <t>1458 (1458)</t>
  </si>
  <si>
    <t>1502 (1502)</t>
  </si>
  <si>
    <t>1H40 WTT</t>
  </si>
  <si>
    <t>1459 (1459)</t>
  </si>
  <si>
    <t>1503 (1503)</t>
  </si>
  <si>
    <t>1L41 WTT</t>
  </si>
  <si>
    <t>1505 (1505)</t>
  </si>
  <si>
    <t>1509 (1509)</t>
  </si>
  <si>
    <t>1J42 WTT</t>
  </si>
  <si>
    <t>1510 (1510)</t>
  </si>
  <si>
    <t>1514 (1514)</t>
  </si>
  <si>
    <t>1H41 WTT</t>
  </si>
  <si>
    <t>1512 (1512)</t>
  </si>
  <si>
    <t>1516 (1516)</t>
  </si>
  <si>
    <t>1H42 WTT</t>
  </si>
  <si>
    <t>1517 (1517)</t>
  </si>
  <si>
    <t>1521 (1521)</t>
  </si>
  <si>
    <t>1J41 WTT</t>
  </si>
  <si>
    <t>1519 (1519)</t>
  </si>
  <si>
    <t>1523 (1523)</t>
  </si>
  <si>
    <t>1F42 WTT</t>
  </si>
  <si>
    <t>1524 (1524)</t>
  </si>
  <si>
    <t>1528 (1528)</t>
  </si>
  <si>
    <t>1L43 WTT</t>
  </si>
  <si>
    <t>1526 (1526)</t>
  </si>
  <si>
    <t>1530 (1530)</t>
  </si>
  <si>
    <t>1L42 WTT</t>
  </si>
  <si>
    <t>1531 (1531)</t>
  </si>
  <si>
    <t>1535 (1535)</t>
  </si>
  <si>
    <t>1F43 WTT</t>
  </si>
  <si>
    <t>1533 (1533)</t>
  </si>
  <si>
    <t>1537 (1537)</t>
  </si>
  <si>
    <t>1F44 WTT</t>
  </si>
  <si>
    <t>1538 (1538)</t>
  </si>
  <si>
    <t>1542 (1542)</t>
  </si>
  <si>
    <t>1J43 WTT</t>
  </si>
  <si>
    <t>1544½ (1545)</t>
  </si>
  <si>
    <t>1548½ (1548)</t>
  </si>
  <si>
    <t>1J44 WTT</t>
  </si>
  <si>
    <t>1545 (1545)</t>
  </si>
  <si>
    <t>1549 (1549)</t>
  </si>
  <si>
    <t>1H43 WTT</t>
  </si>
  <si>
    <t>1550 (1551)</t>
  </si>
  <si>
    <t>1555 (1555)</t>
  </si>
  <si>
    <t>1L44 WTT</t>
  </si>
  <si>
    <t>1552 (1552)</t>
  </si>
  <si>
    <t>1556 (1556)</t>
  </si>
  <si>
    <t>1F45 WTT</t>
  </si>
  <si>
    <t>1558 (1558)</t>
  </si>
  <si>
    <t>1602 (1602)</t>
  </si>
  <si>
    <t>1H44 WTT</t>
  </si>
  <si>
    <t>1559 (1559)</t>
  </si>
  <si>
    <t>1603 (1603)</t>
  </si>
  <si>
    <t>1L45 WTT</t>
  </si>
  <si>
    <t>1605 (1605)</t>
  </si>
  <si>
    <t>1610 (1610)</t>
  </si>
  <si>
    <t>1J46 WTT</t>
  </si>
  <si>
    <t>1614 (1614)</t>
  </si>
  <si>
    <t>1H45 WTT</t>
  </si>
  <si>
    <t>1612 (1612)</t>
  </si>
  <si>
    <t>1616 (1616)</t>
  </si>
  <si>
    <t>1H46 WTT</t>
  </si>
  <si>
    <t>1617 (1617)</t>
  </si>
  <si>
    <t>1621 (1621)</t>
  </si>
  <si>
    <t>1J45 WTT</t>
  </si>
  <si>
    <t>1619 (1619)</t>
  </si>
  <si>
    <t>1623 (1623)</t>
  </si>
  <si>
    <t>1F46 WTT</t>
  </si>
  <si>
    <t>1624 (1624)</t>
  </si>
  <si>
    <t>1628 (1628)</t>
  </si>
  <si>
    <t>1L47 WTT</t>
  </si>
  <si>
    <t>1626 (1626)</t>
  </si>
  <si>
    <t>1630 (1630)</t>
  </si>
  <si>
    <t>London St Pancras</t>
  </si>
  <si>
    <t>Ebbsfleet Intl</t>
  </si>
  <si>
    <t>Ashford Intl</t>
  </si>
  <si>
    <t>Starts</t>
  </si>
  <si>
    <t>Terminates</t>
  </si>
  <si>
    <t>DEP_TO</t>
  </si>
  <si>
    <t>ARR_FROM</t>
  </si>
  <si>
    <t>ROUTE_CODE</t>
  </si>
  <si>
    <t>ARRTIME_ACTUAL</t>
  </si>
  <si>
    <t>DEPTIME_ACTUAL</t>
  </si>
  <si>
    <t>1L46 WTT</t>
  </si>
  <si>
    <t>1631 (1631)</t>
  </si>
  <si>
    <t>1635 (1635)</t>
  </si>
  <si>
    <t>1F47 WTT</t>
  </si>
  <si>
    <t>1633 (1633)</t>
  </si>
  <si>
    <t>1637 (1637)</t>
  </si>
  <si>
    <t>1F48 WTT</t>
  </si>
  <si>
    <t>1638 (1638)</t>
  </si>
  <si>
    <t>1642 (1642)</t>
  </si>
  <si>
    <t>1J47 WTT</t>
  </si>
  <si>
    <t>1644½ (1645)</t>
  </si>
  <si>
    <t>1648½ (1648)</t>
  </si>
  <si>
    <t>1J48 WTT</t>
  </si>
  <si>
    <t>1645 (1645)</t>
  </si>
  <si>
    <t>1649 (1649)</t>
  </si>
  <si>
    <t>1H47 WTT</t>
  </si>
  <si>
    <t>1651 (1651)</t>
  </si>
  <si>
    <t>1655 (1655)</t>
  </si>
  <si>
    <t>1L48 WTT</t>
  </si>
  <si>
    <t>1652 (1652)</t>
  </si>
  <si>
    <t>1656 (1656)</t>
  </si>
  <si>
    <t>1F49 WTT</t>
  </si>
  <si>
    <t>1658 (1658)</t>
  </si>
  <si>
    <t>1702 (1702)</t>
  </si>
  <si>
    <t>1H48 WTT</t>
  </si>
  <si>
    <t>1659 (1659)</t>
  </si>
  <si>
    <t>1703 (1703)</t>
  </si>
  <si>
    <t>1L49 WTT</t>
  </si>
  <si>
    <t>1705 (1705)</t>
  </si>
  <si>
    <t>1709 (1709)</t>
  </si>
  <si>
    <t>1J50 WTT</t>
  </si>
  <si>
    <t>1710 (1710)</t>
  </si>
  <si>
    <t>1714 (1714)</t>
  </si>
  <si>
    <t>1H49 WTT</t>
  </si>
  <si>
    <t>1712 (1712)</t>
  </si>
  <si>
    <t>1716 (1716)</t>
  </si>
  <si>
    <t>1H50 WTT</t>
  </si>
  <si>
    <t>1717 (1717)</t>
  </si>
  <si>
    <t>1721 (1721)</t>
  </si>
  <si>
    <t>1J49 WTT</t>
  </si>
  <si>
    <t>1719 (1719)</t>
  </si>
  <si>
    <t>1723 (1723)</t>
  </si>
  <si>
    <t>1F50 WTT</t>
  </si>
  <si>
    <t>1724 (1724)</t>
  </si>
  <si>
    <t>1728 (1728)</t>
  </si>
  <si>
    <t>1L51 WTT</t>
  </si>
  <si>
    <t>1726 (1726)</t>
  </si>
  <si>
    <t>1730 (1730)</t>
  </si>
  <si>
    <t>1L50 WTT</t>
  </si>
  <si>
    <t>1731 (1731)</t>
  </si>
  <si>
    <t>1735 (1735)</t>
  </si>
  <si>
    <t>1F51 WTT</t>
  </si>
  <si>
    <t>1733 (1733)</t>
  </si>
  <si>
    <t>1737 (1737)</t>
  </si>
  <si>
    <t>1F52 WTT</t>
  </si>
  <si>
    <t>1738 (1738)</t>
  </si>
  <si>
    <t>1742 (1742)</t>
  </si>
  <si>
    <t>1J51 WTT</t>
  </si>
  <si>
    <t>1744½ (1745)</t>
  </si>
  <si>
    <t>1748½ (1748)</t>
  </si>
  <si>
    <t>1J52 WTT</t>
  </si>
  <si>
    <t>1745 (1745)</t>
  </si>
  <si>
    <t>1749 (1749)</t>
  </si>
  <si>
    <t>1H51 WTT</t>
  </si>
  <si>
    <t>1751 (1751)</t>
  </si>
  <si>
    <t>1755 (1755)</t>
  </si>
  <si>
    <t>1L52 WTT</t>
  </si>
  <si>
    <t>1752 (1752)</t>
  </si>
  <si>
    <t>1756 (1756)</t>
  </si>
  <si>
    <t>1F53 WTT</t>
  </si>
  <si>
    <t>1758 (1758)</t>
  </si>
  <si>
    <t>1802 (1802)</t>
  </si>
  <si>
    <t>1H52 WTT</t>
  </si>
  <si>
    <t>1759 (1759)</t>
  </si>
  <si>
    <t>1803 (1803)</t>
  </si>
  <si>
    <t>1L53 WTT</t>
  </si>
  <si>
    <t>1805 (1805)</t>
  </si>
  <si>
    <t>1809 (1809)</t>
  </si>
  <si>
    <t>1J54 WTT</t>
  </si>
  <si>
    <t>1810 (1810)</t>
  </si>
  <si>
    <t>1814 (1814)</t>
  </si>
  <si>
    <t>1H53 WTT</t>
  </si>
  <si>
    <t>1812 (1812)</t>
  </si>
  <si>
    <t>1816 (1816)</t>
  </si>
  <si>
    <t>1H54 WTT</t>
  </si>
  <si>
    <t>1817 (1817)</t>
  </si>
  <si>
    <t>1821 (1821)</t>
  </si>
  <si>
    <t>1J53 WTT</t>
  </si>
  <si>
    <t>1819 (1819)</t>
  </si>
  <si>
    <t>1823 (1823)</t>
  </si>
  <si>
    <t>1F54 WTT</t>
  </si>
  <si>
    <t>1824 (1824)</t>
  </si>
  <si>
    <t>1828 (1828)</t>
  </si>
  <si>
    <t>1L55 WTT</t>
  </si>
  <si>
    <t>1826 (1826)</t>
  </si>
  <si>
    <t>1830 (1830)</t>
  </si>
  <si>
    <t>1L54 WTT</t>
  </si>
  <si>
    <t>1831 (1831)</t>
  </si>
  <si>
    <t>1835 (1835)</t>
  </si>
  <si>
    <t>1F55 WTT</t>
  </si>
  <si>
    <t>1833 (1833)</t>
  </si>
  <si>
    <t>1837 (1837)</t>
  </si>
  <si>
    <t>1F56 WTT</t>
  </si>
  <si>
    <t>1838 (1838)</t>
  </si>
  <si>
    <t>1842 (1842)</t>
  </si>
  <si>
    <t>1J55 WTT</t>
  </si>
  <si>
    <t>1844½ (1845)</t>
  </si>
  <si>
    <t>1848½ (1848)</t>
  </si>
  <si>
    <t>1J56 WTT</t>
  </si>
  <si>
    <t>1845 (1845)</t>
  </si>
  <si>
    <t>1849 (1849)</t>
  </si>
  <si>
    <t>1H55 WTT</t>
  </si>
  <si>
    <t>1851 (1851)</t>
  </si>
  <si>
    <t>1855 (1855)</t>
  </si>
  <si>
    <t>1L56 WTT</t>
  </si>
  <si>
    <t>1852 (1852)</t>
  </si>
  <si>
    <t>1856 (1856)</t>
  </si>
  <si>
    <t>1F57 WTT</t>
  </si>
  <si>
    <t>1858 (1858)</t>
  </si>
  <si>
    <t>1902 (1902)</t>
  </si>
  <si>
    <t>1H56 WTT</t>
  </si>
  <si>
    <t>1859 (1859)</t>
  </si>
  <si>
    <t>1903 (1903)</t>
  </si>
  <si>
    <t>1L57 WTT</t>
  </si>
  <si>
    <t>1905 (1905)</t>
  </si>
  <si>
    <t>1909 (1909)</t>
  </si>
  <si>
    <t>1J58 WTT</t>
  </si>
  <si>
    <t>1910 (1910)</t>
  </si>
  <si>
    <t>1914 (1914)</t>
  </si>
  <si>
    <t>1H57 WTT</t>
  </si>
  <si>
    <t>1912 (1912)</t>
  </si>
  <si>
    <t>1916 (1916)</t>
  </si>
  <si>
    <t>1H58 WTT</t>
  </si>
  <si>
    <t>1917 (1917)</t>
  </si>
  <si>
    <t>1921 (1921)</t>
  </si>
  <si>
    <t>1J57 WTT</t>
  </si>
  <si>
    <t>1919 (1919)</t>
  </si>
  <si>
    <t>1923 (1923)</t>
  </si>
  <si>
    <t>1F58 WTT</t>
  </si>
  <si>
    <t>1924 (1924)</t>
  </si>
  <si>
    <t>1928 (1928)</t>
  </si>
  <si>
    <t>1L59 WTT</t>
  </si>
  <si>
    <t>1926 (1926)</t>
  </si>
  <si>
    <t>1930 (1930)</t>
  </si>
  <si>
    <t>1L58 WTT</t>
  </si>
  <si>
    <t>1931 (1931)</t>
  </si>
  <si>
    <t>1935 (1935)</t>
  </si>
  <si>
    <t>1F59 WTT</t>
  </si>
  <si>
    <t>1933 (1933)</t>
  </si>
  <si>
    <t>1937 (1937)</t>
  </si>
  <si>
    <t>1F60 WTT</t>
  </si>
  <si>
    <t>1938 (1938)</t>
  </si>
  <si>
    <t>1942 (1942)</t>
  </si>
  <si>
    <t>1J59 WTT</t>
  </si>
  <si>
    <t>1944½ (1945)</t>
  </si>
  <si>
    <t>1948½ (1948)</t>
  </si>
  <si>
    <t>1J60 WTT</t>
  </si>
  <si>
    <t>1945 (1945)</t>
  </si>
  <si>
    <t>1949 (1949)</t>
  </si>
  <si>
    <t>1H59 WTT</t>
  </si>
  <si>
    <t>1951 (1951)</t>
  </si>
  <si>
    <t>1955 (1955)</t>
  </si>
  <si>
    <t>1L60 WTT</t>
  </si>
  <si>
    <t>1952 (1952)</t>
  </si>
  <si>
    <t>1956 (1956)</t>
  </si>
  <si>
    <t>1F61 WTT</t>
  </si>
  <si>
    <t>1958 (1958)</t>
  </si>
  <si>
    <t>2002 (2002)</t>
  </si>
  <si>
    <t>1H60 WTT</t>
  </si>
  <si>
    <t>1959 (1959)</t>
  </si>
  <si>
    <t>2003 (2003)</t>
  </si>
  <si>
    <t>1L61 WTT</t>
  </si>
  <si>
    <t>2005 (2005)</t>
  </si>
  <si>
    <t>2009 (2009)</t>
  </si>
  <si>
    <t>1J62 WTT</t>
  </si>
  <si>
    <t>2010 (2010)</t>
  </si>
  <si>
    <t>2014 (2014)</t>
  </si>
  <si>
    <t>1H61 WTT</t>
  </si>
  <si>
    <t>2012 (2012)</t>
  </si>
  <si>
    <t>2016 (2016)</t>
  </si>
  <si>
    <t>1H62 WTT</t>
  </si>
  <si>
    <t>2017 (2017)</t>
  </si>
  <si>
    <t>2021 (2021)</t>
  </si>
  <si>
    <t>1J61 WTT</t>
  </si>
  <si>
    <t>2019 (2019)</t>
  </si>
  <si>
    <t>2023 (2023)</t>
  </si>
  <si>
    <t>1F62 WTT</t>
  </si>
  <si>
    <t>2024 (2024)</t>
  </si>
  <si>
    <t>2028 (2028)</t>
  </si>
  <si>
    <t>1L63 WTT</t>
  </si>
  <si>
    <t>2026 (2026)</t>
  </si>
  <si>
    <t>2030 (2030)</t>
  </si>
  <si>
    <t>1L62 WTT</t>
  </si>
  <si>
    <t>2031 (2031)</t>
  </si>
  <si>
    <t>2035 (2035)</t>
  </si>
  <si>
    <t>1F63 WTT</t>
  </si>
  <si>
    <t>2033 (2033)</t>
  </si>
  <si>
    <t>2037 (2037)</t>
  </si>
  <si>
    <t>1F64 WTT</t>
  </si>
  <si>
    <t>2038 (2038)</t>
  </si>
  <si>
    <t>2042 (2042)</t>
  </si>
  <si>
    <t>1J63 WTT</t>
  </si>
  <si>
    <t>2044½ (2045)</t>
  </si>
  <si>
    <t>2048½ (2048)</t>
  </si>
  <si>
    <t>1J64 WTT</t>
  </si>
  <si>
    <t>2045 (2045)</t>
  </si>
  <si>
    <t>2049 (2049)</t>
  </si>
  <si>
    <t>1H63 WTT</t>
  </si>
  <si>
    <t>2051 (2051)</t>
  </si>
  <si>
    <t>2055 (2055)</t>
  </si>
  <si>
    <t>1L64 WTT</t>
  </si>
  <si>
    <t>2052 (2052)</t>
  </si>
  <si>
    <t>2056 (2056)</t>
  </si>
  <si>
    <t>1F65 WTT</t>
  </si>
  <si>
    <t>2058 (2058)</t>
  </si>
  <si>
    <t>2102 (2102)</t>
  </si>
  <si>
    <t>1H64 WTT</t>
  </si>
  <si>
    <t>2059 (2059)</t>
  </si>
  <si>
    <t>2103 (2103)</t>
  </si>
  <si>
    <t>1L65 WTT</t>
  </si>
  <si>
    <t>2105 (2105)</t>
  </si>
  <si>
    <t>2109 (2109)</t>
  </si>
  <si>
    <t>1J66 WTT</t>
  </si>
  <si>
    <t>2110 (2110)</t>
  </si>
  <si>
    <t>2114 (2114)</t>
  </si>
  <si>
    <t>1H65 WTT</t>
  </si>
  <si>
    <t>2112 (2112)</t>
  </si>
  <si>
    <t>2116 (2116)</t>
  </si>
  <si>
    <t>1H66 WTT</t>
  </si>
  <si>
    <t>2117 (2117)</t>
  </si>
  <si>
    <t>2121 (2121)</t>
  </si>
  <si>
    <t>1J65 WTT</t>
  </si>
  <si>
    <t>2119 (2119)</t>
  </si>
  <si>
    <t>2123 (2123)</t>
  </si>
  <si>
    <t>1F66 WTT</t>
  </si>
  <si>
    <t>2124 (2124)</t>
  </si>
  <si>
    <t>2128 (2128)</t>
  </si>
  <si>
    <t>1L67 WTT</t>
  </si>
  <si>
    <t>2126 (2126)</t>
  </si>
  <si>
    <t>2130 (2130)</t>
  </si>
  <si>
    <t>1L66 WTT</t>
  </si>
  <si>
    <t>2131 (2131)</t>
  </si>
  <si>
    <t>2135 (2135)</t>
  </si>
  <si>
    <t>1F67 WTT</t>
  </si>
  <si>
    <t>2133 (2133)</t>
  </si>
  <si>
    <t>2137 (2137)</t>
  </si>
  <si>
    <t>1F68 WTT</t>
  </si>
  <si>
    <t>2138 (2138)</t>
  </si>
  <si>
    <t>2142 (2142)</t>
  </si>
  <si>
    <t>1J67 WTT</t>
  </si>
  <si>
    <t>2144½ (2145)</t>
  </si>
  <si>
    <t>2148½ (2148)</t>
  </si>
  <si>
    <t>1J68 WTT</t>
  </si>
  <si>
    <t>2145 (2145)</t>
  </si>
  <si>
    <t>2149 (2149)</t>
  </si>
  <si>
    <t>1H67 WTT</t>
  </si>
  <si>
    <t>2151 (2151)</t>
  </si>
  <si>
    <t>2155 (2155)</t>
  </si>
  <si>
    <t>1L68 WTT</t>
  </si>
  <si>
    <t>2152 (2152)</t>
  </si>
  <si>
    <t>2156 (2156)</t>
  </si>
  <si>
    <t>1F69 WTT</t>
  </si>
  <si>
    <t>2158 (2158)</t>
  </si>
  <si>
    <t>2202 (2202)</t>
  </si>
  <si>
    <t>1H68 WTT</t>
  </si>
  <si>
    <t>2159 (2159)</t>
  </si>
  <si>
    <t>2203 (2203)</t>
  </si>
  <si>
    <t>1L69 WTT</t>
  </si>
  <si>
    <t>2205 (2205)</t>
  </si>
  <si>
    <t>2209 (2209)</t>
  </si>
  <si>
    <t>1J70 WTT</t>
  </si>
  <si>
    <t>2210 (2210)</t>
  </si>
  <si>
    <t>2214 (2214)</t>
  </si>
  <si>
    <t>1H69 WTT</t>
  </si>
  <si>
    <t>2212 (2212)</t>
  </si>
  <si>
    <t>2216 (2216)</t>
  </si>
  <si>
    <t>1H70 WTT</t>
  </si>
  <si>
    <t>2217 (2217)</t>
  </si>
  <si>
    <t>2221 (2221)</t>
  </si>
  <si>
    <t>1J69 WTT</t>
  </si>
  <si>
    <t>2219 (2219)</t>
  </si>
  <si>
    <t>2223 (2223)</t>
  </si>
  <si>
    <t>1L70 WTT</t>
  </si>
  <si>
    <t>2224 (2224)</t>
  </si>
  <si>
    <t>2228 (2228)</t>
  </si>
  <si>
    <t>1L71 WTT</t>
  </si>
  <si>
    <t>2226 (2226)</t>
  </si>
  <si>
    <t>2230 (2230)</t>
  </si>
  <si>
    <t>1L72 WTT</t>
  </si>
  <si>
    <t>2231 (2231)</t>
  </si>
  <si>
    <t>2235 (2235)</t>
  </si>
  <si>
    <t>1F71 WTT</t>
  </si>
  <si>
    <t>2233 (2233)</t>
  </si>
  <si>
    <t>2237 (2237)</t>
  </si>
  <si>
    <t>1H72 WTT</t>
  </si>
  <si>
    <t>2238 (2238)</t>
  </si>
  <si>
    <t>2242 (2242)</t>
  </si>
  <si>
    <t>1H74 WTT</t>
  </si>
  <si>
    <t>2245 (2245)</t>
  </si>
  <si>
    <t>2247 (2247)</t>
  </si>
  <si>
    <t>1J71 WTT</t>
  </si>
  <si>
    <t>2244½ (2245)</t>
  </si>
  <si>
    <t>2248½ (2248)</t>
  </si>
  <si>
    <t>1H71 WTT</t>
  </si>
  <si>
    <t>2251 (2251)</t>
  </si>
  <si>
    <t>2255 (2255)</t>
  </si>
  <si>
    <t>1L74 WTT</t>
  </si>
  <si>
    <t>2252 (2252)</t>
  </si>
  <si>
    <t>2256 (2256)</t>
  </si>
  <si>
    <t>1F73 WTT</t>
  </si>
  <si>
    <t>2257½ (2258)</t>
  </si>
  <si>
    <t>2301½ (2301)</t>
  </si>
  <si>
    <t>1L76 WTT</t>
  </si>
  <si>
    <t>2258 (2258)</t>
  </si>
  <si>
    <t>2302 (2302)</t>
  </si>
  <si>
    <t>1L73 WTT</t>
  </si>
  <si>
    <t>2301 (2301)</t>
  </si>
  <si>
    <t>2305 (2305)</t>
  </si>
  <si>
    <t>1L75 WTT</t>
  </si>
  <si>
    <t>2306 (2306)</t>
  </si>
  <si>
    <t>2309 (2309)</t>
  </si>
  <si>
    <t>1H76 WTT</t>
  </si>
  <si>
    <t>2310 (2310)</t>
  </si>
  <si>
    <t>2314 (2314)</t>
  </si>
  <si>
    <t>1H73 WTT</t>
  </si>
  <si>
    <t>2311 (2311)</t>
  </si>
  <si>
    <t>2315 (2315)</t>
  </si>
  <si>
    <t>1J73 WTT</t>
  </si>
  <si>
    <t>2316 (2316)</t>
  </si>
  <si>
    <t>2320 (2320)</t>
  </si>
  <si>
    <t>1H80 WTT</t>
  </si>
  <si>
    <t>2317 (2317)</t>
  </si>
  <si>
    <t>2321 (2321)</t>
  </si>
  <si>
    <t>1H75 WTT</t>
  </si>
  <si>
    <t>2323 (2323)</t>
  </si>
  <si>
    <t>2325 (2325)</t>
  </si>
  <si>
    <t>1L78 WTT</t>
  </si>
  <si>
    <t>2322 (2322)</t>
  </si>
  <si>
    <t>2326 (2326)</t>
  </si>
  <si>
    <t>1L77 WTT</t>
  </si>
  <si>
    <t>2330 (2330)</t>
  </si>
  <si>
    <t>1L80 WTT</t>
  </si>
  <si>
    <t>2326½ (2327)</t>
  </si>
  <si>
    <t>2330½ (2330)</t>
  </si>
  <si>
    <t>1L79 WTT</t>
  </si>
  <si>
    <t>2331 (2331)</t>
  </si>
  <si>
    <t>2335 (2335)</t>
  </si>
  <si>
    <t>1H78 WTT</t>
  </si>
  <si>
    <t>2331½ (2332)</t>
  </si>
  <si>
    <t>2335½ (2335)</t>
  </si>
  <si>
    <t>1L81 WTT</t>
  </si>
  <si>
    <t>2336 (2336)</t>
  </si>
  <si>
    <t>2340 (2340)</t>
  </si>
  <si>
    <t>1H82 WTT</t>
  </si>
  <si>
    <t>2338 (2338)</t>
  </si>
  <si>
    <t>2342 (2342)</t>
  </si>
  <si>
    <t>1J75 WTT</t>
  </si>
  <si>
    <t>2345 (2345)</t>
  </si>
  <si>
    <t>1L82 WTT</t>
  </si>
  <si>
    <t>2346 (2346)</t>
  </si>
  <si>
    <t>1H81 WTT</t>
  </si>
  <si>
    <t>2345½ (2346)</t>
  </si>
  <si>
    <t>2350 (2350)</t>
  </si>
  <si>
    <t>1L84 WTT</t>
  </si>
  <si>
    <t>2346½ (2347)</t>
  </si>
  <si>
    <t>2350½ (2350)</t>
  </si>
  <si>
    <t>1H83 WTT</t>
  </si>
  <si>
    <t>2351 (2351)</t>
  </si>
  <si>
    <t>2355 (2355)</t>
  </si>
  <si>
    <t>1H84 WTT</t>
  </si>
  <si>
    <t>2353 (2353)</t>
  </si>
  <si>
    <t>1L83 WTT</t>
  </si>
  <si>
    <t>2356 (2356)</t>
  </si>
  <si>
    <t>2359 (2359)</t>
  </si>
  <si>
    <t>CALLS1</t>
  </si>
  <si>
    <t>CALLS2</t>
  </si>
  <si>
    <t>CALLS3</t>
  </si>
  <si>
    <t>CALLS4</t>
  </si>
  <si>
    <t>CALLS5</t>
  </si>
  <si>
    <t>CALLS6</t>
  </si>
  <si>
    <t>CALLS7</t>
  </si>
  <si>
    <t>CALLS8</t>
  </si>
  <si>
    <t>CALLS9</t>
  </si>
  <si>
    <t>Gravesend</t>
  </si>
  <si>
    <t>Strood</t>
  </si>
  <si>
    <t>Rochester</t>
  </si>
  <si>
    <t>Chatham</t>
  </si>
  <si>
    <t>Gillingham</t>
  </si>
  <si>
    <t>Rainham</t>
  </si>
  <si>
    <t>Sittingbourne</t>
  </si>
  <si>
    <t>SFA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</si>
</sst>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1" applyAlignment="1">
      <alignment vertical="center" wrapText="1"/>
    </xf>
    <xf numFmtId="0" fontId="0" fillId="0" borderId="0" xfId="0" applyAlignment="1">
      <alignment wrapText="1"/>
    </xf>
    <xf numFmtId="0" fontId="2" fillId="0" borderId="0" xfId="1"/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vertical="center" textRotation="90"/>
    </xf>
    <xf numFmtId="0" fontId="5" fillId="0" borderId="0" xfId="0" applyFon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opentraintimes.com/schedule/W30583/2012/8/7" TargetMode="External"/><Relationship Id="rId299" Type="http://schemas.openxmlformats.org/officeDocument/2006/relationships/hyperlink" Target="http://www.opentraintimes.com/schedule/W39759/2012/8/7" TargetMode="External"/><Relationship Id="rId303" Type="http://schemas.openxmlformats.org/officeDocument/2006/relationships/hyperlink" Target="http://www.opentraintimes.com/schedule/W30722/2012/8/7" TargetMode="External"/><Relationship Id="rId21" Type="http://schemas.openxmlformats.org/officeDocument/2006/relationships/hyperlink" Target="http://www.opentraintimes.com/schedule/W38832/2012/8/7" TargetMode="External"/><Relationship Id="rId42" Type="http://schemas.openxmlformats.org/officeDocument/2006/relationships/hyperlink" Target="http://www.opentraintimes.com/schedule/W39651/2012/8/7" TargetMode="External"/><Relationship Id="rId63" Type="http://schemas.openxmlformats.org/officeDocument/2006/relationships/hyperlink" Target="http://www.opentraintimes.com/schedule/W39645/2012/8/7" TargetMode="External"/><Relationship Id="rId84" Type="http://schemas.openxmlformats.org/officeDocument/2006/relationships/hyperlink" Target="http://www.opentraintimes.com/schedule/W39304/2012/8/7" TargetMode="External"/><Relationship Id="rId138" Type="http://schemas.openxmlformats.org/officeDocument/2006/relationships/hyperlink" Target="http://www.opentraintimes.com/schedule/W39681/2012/8/7" TargetMode="External"/><Relationship Id="rId159" Type="http://schemas.openxmlformats.org/officeDocument/2006/relationships/hyperlink" Target="http://www.opentraintimes.com/schedule/W30613/2012/8/7" TargetMode="External"/><Relationship Id="rId324" Type="http://schemas.openxmlformats.org/officeDocument/2006/relationships/hyperlink" Target="http://www.opentraintimes.com/schedule/W39779/2012/8/7" TargetMode="External"/><Relationship Id="rId345" Type="http://schemas.openxmlformats.org/officeDocument/2006/relationships/hyperlink" Target="http://www.opentraintimes.com/schedule/W39791/2012/8/7" TargetMode="External"/><Relationship Id="rId170" Type="http://schemas.openxmlformats.org/officeDocument/2006/relationships/hyperlink" Target="http://www.opentraintimes.com/schedule/W39697/2012/8/7" TargetMode="External"/><Relationship Id="rId191" Type="http://schemas.openxmlformats.org/officeDocument/2006/relationships/hyperlink" Target="http://www.opentraintimes.com/schedule/W30637/2012/8/7" TargetMode="External"/><Relationship Id="rId205" Type="http://schemas.openxmlformats.org/officeDocument/2006/relationships/hyperlink" Target="http://www.opentraintimes.com/schedule/W39421/2012/8/7" TargetMode="External"/><Relationship Id="rId226" Type="http://schemas.openxmlformats.org/officeDocument/2006/relationships/hyperlink" Target="http://www.opentraintimes.com/schedule/W30239/2012/8/7" TargetMode="External"/><Relationship Id="rId247" Type="http://schemas.openxmlformats.org/officeDocument/2006/relationships/hyperlink" Target="http://www.opentraintimes.com/schedule/W39545/2012/8/7" TargetMode="External"/><Relationship Id="rId107" Type="http://schemas.openxmlformats.org/officeDocument/2006/relationships/hyperlink" Target="http://www.opentraintimes.com/schedule/W39663/2012/8/7" TargetMode="External"/><Relationship Id="rId268" Type="http://schemas.openxmlformats.org/officeDocument/2006/relationships/hyperlink" Target="http://www.opentraintimes.com/schedule/W39433/2012/8/7" TargetMode="External"/><Relationship Id="rId289" Type="http://schemas.openxmlformats.org/officeDocument/2006/relationships/hyperlink" Target="http://www.opentraintimes.com/schedule/W39755/2012/8/7" TargetMode="External"/><Relationship Id="rId11" Type="http://schemas.openxmlformats.org/officeDocument/2006/relationships/hyperlink" Target="http://www.opentraintimes.com/schedule/W39824/2012/8/7" TargetMode="External"/><Relationship Id="rId32" Type="http://schemas.openxmlformats.org/officeDocument/2006/relationships/hyperlink" Target="http://www.opentraintimes.com/schedule/W39453/2012/8/7" TargetMode="External"/><Relationship Id="rId53" Type="http://schemas.openxmlformats.org/officeDocument/2006/relationships/hyperlink" Target="http://www.opentraintimes.com/schedule/W39391/2012/8/7" TargetMode="External"/><Relationship Id="rId74" Type="http://schemas.openxmlformats.org/officeDocument/2006/relationships/hyperlink" Target="http://www.opentraintimes.com/schedule/W39300/2012/8/7" TargetMode="External"/><Relationship Id="rId128" Type="http://schemas.openxmlformats.org/officeDocument/2006/relationships/hyperlink" Target="http://www.opentraintimes.com/schedule/W39479/2012/8/7" TargetMode="External"/><Relationship Id="rId149" Type="http://schemas.openxmlformats.org/officeDocument/2006/relationships/hyperlink" Target="http://www.opentraintimes.com/schedule/W30607/2012/8/7" TargetMode="External"/><Relationship Id="rId314" Type="http://schemas.openxmlformats.org/officeDocument/2006/relationships/hyperlink" Target="http://www.opentraintimes.com/schedule/W39769/2012/8/7" TargetMode="External"/><Relationship Id="rId335" Type="http://schemas.openxmlformats.org/officeDocument/2006/relationships/hyperlink" Target="http://www.opentraintimes.com/schedule/W39785/2012/8/7" TargetMode="External"/><Relationship Id="rId5" Type="http://schemas.openxmlformats.org/officeDocument/2006/relationships/hyperlink" Target="http://www.opentraintimes.com/schedule/W39634/2012/8/7" TargetMode="External"/><Relationship Id="rId95" Type="http://schemas.openxmlformats.org/officeDocument/2006/relationships/hyperlink" Target="http://www.opentraintimes.com/schedule/W39800/2012/8/7" TargetMode="External"/><Relationship Id="rId160" Type="http://schemas.openxmlformats.org/officeDocument/2006/relationships/hyperlink" Target="http://www.opentraintimes.com/schedule/W39495/2012/8/7" TargetMode="External"/><Relationship Id="rId181" Type="http://schemas.openxmlformats.org/officeDocument/2006/relationships/hyperlink" Target="http://www.opentraintimes.com/schedule/W30631/2012/8/7" TargetMode="External"/><Relationship Id="rId216" Type="http://schemas.openxmlformats.org/officeDocument/2006/relationships/hyperlink" Target="http://www.opentraintimes.com/schedule/W30651/2012/8/7" TargetMode="External"/><Relationship Id="rId237" Type="http://schemas.openxmlformats.org/officeDocument/2006/relationships/hyperlink" Target="http://www.opentraintimes.com/schedule/W39429/2012/8/7" TargetMode="External"/><Relationship Id="rId258" Type="http://schemas.openxmlformats.org/officeDocument/2006/relationships/hyperlink" Target="http://www.opentraintimes.com/schedule/W30268/2012/8/7" TargetMode="External"/><Relationship Id="rId279" Type="http://schemas.openxmlformats.org/officeDocument/2006/relationships/hyperlink" Target="http://www.opentraintimes.com/schedule/W39561/2012/8/7" TargetMode="External"/><Relationship Id="rId22" Type="http://schemas.openxmlformats.org/officeDocument/2006/relationships/hyperlink" Target="http://www.opentraintimes.com/schedule/W30546/2012/8/7" TargetMode="External"/><Relationship Id="rId43" Type="http://schemas.openxmlformats.org/officeDocument/2006/relationships/hyperlink" Target="http://www.opentraintimes.com/schedule/W30121/2012/8/7" TargetMode="External"/><Relationship Id="rId64" Type="http://schemas.openxmlformats.org/officeDocument/2006/relationships/hyperlink" Target="http://www.opentraintimes.com/schedule/W38831/2012/8/7" TargetMode="External"/><Relationship Id="rId118" Type="http://schemas.openxmlformats.org/officeDocument/2006/relationships/hyperlink" Target="http://www.opentraintimes.com/schedule/W39475/2012/8/7" TargetMode="External"/><Relationship Id="rId139" Type="http://schemas.openxmlformats.org/officeDocument/2006/relationships/hyperlink" Target="http://www.opentraintimes.com/schedule/W39679/2012/8/7" TargetMode="External"/><Relationship Id="rId290" Type="http://schemas.openxmlformats.org/officeDocument/2006/relationships/hyperlink" Target="http://www.opentraintimes.com/schedule/W30292/2012/8/7" TargetMode="External"/><Relationship Id="rId304" Type="http://schemas.openxmlformats.org/officeDocument/2006/relationships/hyperlink" Target="http://www.opentraintimes.com/schedule/W39571/2012/8/7" TargetMode="External"/><Relationship Id="rId325" Type="http://schemas.openxmlformats.org/officeDocument/2006/relationships/hyperlink" Target="http://www.opentraintimes.com/schedule/W39773/2012/8/7" TargetMode="External"/><Relationship Id="rId346" Type="http://schemas.openxmlformats.org/officeDocument/2006/relationships/printerSettings" Target="../printerSettings/printerSettings1.bin"/><Relationship Id="rId85" Type="http://schemas.openxmlformats.org/officeDocument/2006/relationships/hyperlink" Target="http://www.opentraintimes.com/schedule/W36783/2012/8/7" TargetMode="External"/><Relationship Id="rId150" Type="http://schemas.openxmlformats.org/officeDocument/2006/relationships/hyperlink" Target="http://www.opentraintimes.com/schedule/W39491/2012/8/7" TargetMode="External"/><Relationship Id="rId171" Type="http://schemas.openxmlformats.org/officeDocument/2006/relationships/hyperlink" Target="http://www.opentraintimes.com/schedule/W39695/2012/8/7" TargetMode="External"/><Relationship Id="rId192" Type="http://schemas.openxmlformats.org/officeDocument/2006/relationships/hyperlink" Target="http://www.opentraintimes.com/schedule/W39515/2012/8/7" TargetMode="External"/><Relationship Id="rId206" Type="http://schemas.openxmlformats.org/officeDocument/2006/relationships/hyperlink" Target="http://www.opentraintimes.com/schedule/W30009/2012/8/7" TargetMode="External"/><Relationship Id="rId227" Type="http://schemas.openxmlformats.org/officeDocument/2006/relationships/hyperlink" Target="http://www.opentraintimes.com/schedule/W39533/2012/8/7" TargetMode="External"/><Relationship Id="rId248" Type="http://schemas.openxmlformats.org/officeDocument/2006/relationships/hyperlink" Target="http://www.opentraintimes.com/schedule/W30677/2012/8/7" TargetMode="External"/><Relationship Id="rId269" Type="http://schemas.openxmlformats.org/officeDocument/2006/relationships/hyperlink" Target="http://www.opentraintimes.com/schedule/W39435/2012/8/7" TargetMode="External"/><Relationship Id="rId12" Type="http://schemas.openxmlformats.org/officeDocument/2006/relationships/hyperlink" Target="http://www.opentraintimes.com/schedule/W39828/2012/8/7" TargetMode="External"/><Relationship Id="rId33" Type="http://schemas.openxmlformats.org/officeDocument/2006/relationships/hyperlink" Target="http://www.opentraintimes.com/schedule/W30554/2012/8/7" TargetMode="External"/><Relationship Id="rId108" Type="http://schemas.openxmlformats.org/officeDocument/2006/relationships/hyperlink" Target="http://www.opentraintimes.com/schedule/W39395/2012/8/7" TargetMode="External"/><Relationship Id="rId129" Type="http://schemas.openxmlformats.org/officeDocument/2006/relationships/hyperlink" Target="http://www.opentraintimes.com/schedule/W39675/2012/8/7" TargetMode="External"/><Relationship Id="rId280" Type="http://schemas.openxmlformats.org/officeDocument/2006/relationships/hyperlink" Target="http://www.opentraintimes.com/schedule/W30701/2012/8/7" TargetMode="External"/><Relationship Id="rId315" Type="http://schemas.openxmlformats.org/officeDocument/2006/relationships/hyperlink" Target="http://www.opentraintimes.com/schedule/W39769/2012/8/7" TargetMode="External"/><Relationship Id="rId336" Type="http://schemas.openxmlformats.org/officeDocument/2006/relationships/hyperlink" Target="http://www.opentraintimes.com/schedule/W39589/2012/8/7" TargetMode="External"/><Relationship Id="rId54" Type="http://schemas.openxmlformats.org/officeDocument/2006/relationships/hyperlink" Target="http://www.opentraintimes.com/schedule/W39393/2012/8/7" TargetMode="External"/><Relationship Id="rId75" Type="http://schemas.openxmlformats.org/officeDocument/2006/relationships/hyperlink" Target="http://www.opentraintimes.com/schedule/W39814/2012/8/7" TargetMode="External"/><Relationship Id="rId96" Type="http://schemas.openxmlformats.org/officeDocument/2006/relationships/hyperlink" Target="http://www.opentraintimes.com/schedule/W39798/2012/8/7" TargetMode="External"/><Relationship Id="rId140" Type="http://schemas.openxmlformats.org/officeDocument/2006/relationships/hyperlink" Target="http://www.opentraintimes.com/schedule/W39403/2012/8/7" TargetMode="External"/><Relationship Id="rId161" Type="http://schemas.openxmlformats.org/officeDocument/2006/relationships/hyperlink" Target="http://www.opentraintimes.com/schedule/W39691/2012/8/7" TargetMode="External"/><Relationship Id="rId182" Type="http://schemas.openxmlformats.org/officeDocument/2006/relationships/hyperlink" Target="http://www.opentraintimes.com/schedule/W39511/2012/8/7" TargetMode="External"/><Relationship Id="rId217" Type="http://schemas.openxmlformats.org/officeDocument/2006/relationships/hyperlink" Target="http://www.opentraintimes.com/schedule/W30231/2012/8/7" TargetMode="External"/><Relationship Id="rId6" Type="http://schemas.openxmlformats.org/officeDocument/2006/relationships/hyperlink" Target="http://www.opentraintimes.com/schedule/W39292/2012/8/7" TargetMode="External"/><Relationship Id="rId238" Type="http://schemas.openxmlformats.org/officeDocument/2006/relationships/hyperlink" Target="http://www.opentraintimes.com/schedule/W30671/2012/8/7" TargetMode="External"/><Relationship Id="rId259" Type="http://schemas.openxmlformats.org/officeDocument/2006/relationships/hyperlink" Target="http://www.opentraintimes.com/schedule/W39549/2012/8/7" TargetMode="External"/><Relationship Id="rId23" Type="http://schemas.openxmlformats.org/officeDocument/2006/relationships/hyperlink" Target="http://www.opentraintimes.com/schedule/W30548/2012/8/7" TargetMode="External"/><Relationship Id="rId119" Type="http://schemas.openxmlformats.org/officeDocument/2006/relationships/hyperlink" Target="http://www.opentraintimes.com/schedule/W39477/2012/8/7" TargetMode="External"/><Relationship Id="rId270" Type="http://schemas.openxmlformats.org/officeDocument/2006/relationships/hyperlink" Target="http://www.opentraintimes.com/schedule/W30695/2012/8/7" TargetMode="External"/><Relationship Id="rId291" Type="http://schemas.openxmlformats.org/officeDocument/2006/relationships/hyperlink" Target="http://www.opentraintimes.com/schedule/W39565/2012/8/7" TargetMode="External"/><Relationship Id="rId305" Type="http://schemas.openxmlformats.org/officeDocument/2006/relationships/hyperlink" Target="http://www.opentraintimes.com/schedule/W39763/2012/8/7" TargetMode="External"/><Relationship Id="rId326" Type="http://schemas.openxmlformats.org/officeDocument/2006/relationships/hyperlink" Target="http://www.opentraintimes.com/schedule/W39777/2012/8/7" TargetMode="External"/><Relationship Id="rId44" Type="http://schemas.openxmlformats.org/officeDocument/2006/relationships/hyperlink" Target="http://www.opentraintimes.com/schedule/W39457/2012/8/7" TargetMode="External"/><Relationship Id="rId65" Type="http://schemas.openxmlformats.org/officeDocument/2006/relationships/hyperlink" Target="http://www.opentraintimes.com/schedule/W39608/2012/8/7" TargetMode="External"/><Relationship Id="rId86" Type="http://schemas.openxmlformats.org/officeDocument/2006/relationships/hyperlink" Target="http://www.opentraintimes.com/schedule/W39442/2012/8/7" TargetMode="External"/><Relationship Id="rId130" Type="http://schemas.openxmlformats.org/officeDocument/2006/relationships/hyperlink" Target="http://www.opentraintimes.com/schedule/W30157/2012/8/7" TargetMode="External"/><Relationship Id="rId151" Type="http://schemas.openxmlformats.org/officeDocument/2006/relationships/hyperlink" Target="http://www.opentraintimes.com/schedule/W39493/2012/8/7" TargetMode="External"/><Relationship Id="rId172" Type="http://schemas.openxmlformats.org/officeDocument/2006/relationships/hyperlink" Target="http://www.opentraintimes.com/schedule/W39411/2012/8/7" TargetMode="External"/><Relationship Id="rId193" Type="http://schemas.openxmlformats.org/officeDocument/2006/relationships/hyperlink" Target="http://www.opentraintimes.com/schedule/W39707/2012/8/7" TargetMode="External"/><Relationship Id="rId207" Type="http://schemas.openxmlformats.org/officeDocument/2006/relationships/hyperlink" Target="http://www.opentraintimes.com/schedule/W30648/2012/8/7" TargetMode="External"/><Relationship Id="rId228" Type="http://schemas.openxmlformats.org/officeDocument/2006/relationships/hyperlink" Target="http://www.opentraintimes.com/schedule/W39725/2012/8/7" TargetMode="External"/><Relationship Id="rId249" Type="http://schemas.openxmlformats.org/officeDocument/2006/relationships/hyperlink" Target="http://www.opentraintimes.com/schedule/W30259/2012/8/7" TargetMode="External"/><Relationship Id="rId13" Type="http://schemas.openxmlformats.org/officeDocument/2006/relationships/hyperlink" Target="http://www.opentraintimes.com/schedule/W39834/2012/8/7" TargetMode="External"/><Relationship Id="rId109" Type="http://schemas.openxmlformats.org/officeDocument/2006/relationships/hyperlink" Target="http://www.opentraintimes.com/schedule/W39397/2012/8/7" TargetMode="External"/><Relationship Id="rId260" Type="http://schemas.openxmlformats.org/officeDocument/2006/relationships/hyperlink" Target="http://www.opentraintimes.com/schedule/W39741/2012/8/7" TargetMode="External"/><Relationship Id="rId281" Type="http://schemas.openxmlformats.org/officeDocument/2006/relationships/hyperlink" Target="http://www.opentraintimes.com/schedule/W30282/2012/8/7" TargetMode="External"/><Relationship Id="rId316" Type="http://schemas.openxmlformats.org/officeDocument/2006/relationships/hyperlink" Target="http://www.opentraintimes.com/schedule/W39771/2012/8/7" TargetMode="External"/><Relationship Id="rId337" Type="http://schemas.openxmlformats.org/officeDocument/2006/relationships/hyperlink" Target="http://www.opentraintimes.com/schedule/W48442/2012/8/7" TargetMode="External"/><Relationship Id="rId34" Type="http://schemas.openxmlformats.org/officeDocument/2006/relationships/hyperlink" Target="http://www.opentraintimes.com/schedule/W30116/2012/8/7" TargetMode="External"/><Relationship Id="rId55" Type="http://schemas.openxmlformats.org/officeDocument/2006/relationships/hyperlink" Target="http://www.opentraintimes.com/schedule/W30563/2012/8/7" TargetMode="External"/><Relationship Id="rId76" Type="http://schemas.openxmlformats.org/officeDocument/2006/relationships/hyperlink" Target="http://www.opentraintimes.com/schedule/W34016/2012/8/7" TargetMode="External"/><Relationship Id="rId97" Type="http://schemas.openxmlformats.org/officeDocument/2006/relationships/hyperlink" Target="http://www.opentraintimes.com/schedule/W39804/2012/8/7" TargetMode="External"/><Relationship Id="rId120" Type="http://schemas.openxmlformats.org/officeDocument/2006/relationships/hyperlink" Target="http://www.opentraintimes.com/schedule/W30580/2012/8/7" TargetMode="External"/><Relationship Id="rId141" Type="http://schemas.openxmlformats.org/officeDocument/2006/relationships/hyperlink" Target="http://www.opentraintimes.com/schedule/W39405/2012/8/7" TargetMode="External"/><Relationship Id="rId7" Type="http://schemas.openxmlformats.org/officeDocument/2006/relationships/hyperlink" Target="http://www.opentraintimes.com/schedule/W39386/2012/8/7" TargetMode="External"/><Relationship Id="rId162" Type="http://schemas.openxmlformats.org/officeDocument/2006/relationships/hyperlink" Target="http://www.opentraintimes.com/schedule/W30185/2012/8/7" TargetMode="External"/><Relationship Id="rId183" Type="http://schemas.openxmlformats.org/officeDocument/2006/relationships/hyperlink" Target="http://www.opentraintimes.com/schedule/W39513/2012/8/7" TargetMode="External"/><Relationship Id="rId218" Type="http://schemas.openxmlformats.org/officeDocument/2006/relationships/hyperlink" Target="http://www.opentraintimes.com/schedule/W39721/2012/8/7" TargetMode="External"/><Relationship Id="rId239" Type="http://schemas.openxmlformats.org/officeDocument/2006/relationships/hyperlink" Target="http://www.opentraintimes.com/schedule/W30674/2012/8/7" TargetMode="External"/><Relationship Id="rId250" Type="http://schemas.openxmlformats.org/officeDocument/2006/relationships/hyperlink" Target="http://www.opentraintimes.com/schedule/W39737/2012/8/7" TargetMode="External"/><Relationship Id="rId271" Type="http://schemas.openxmlformats.org/officeDocument/2006/relationships/hyperlink" Target="http://www.opentraintimes.com/schedule/W30698/2012/8/7" TargetMode="External"/><Relationship Id="rId292" Type="http://schemas.openxmlformats.org/officeDocument/2006/relationships/hyperlink" Target="http://www.opentraintimes.com/schedule/W39757/2012/8/7" TargetMode="External"/><Relationship Id="rId306" Type="http://schemas.openxmlformats.org/officeDocument/2006/relationships/hyperlink" Target="http://www.opentraintimes.com/schedule/W30306/2012/8/7" TargetMode="External"/><Relationship Id="rId24" Type="http://schemas.openxmlformats.org/officeDocument/2006/relationships/hyperlink" Target="http://www.opentraintimes.com/schedule/W30110/2012/8/7" TargetMode="External"/><Relationship Id="rId45" Type="http://schemas.openxmlformats.org/officeDocument/2006/relationships/hyperlink" Target="http://www.opentraintimes.com/schedule/W39653/2012/8/7" TargetMode="External"/><Relationship Id="rId66" Type="http://schemas.openxmlformats.org/officeDocument/2006/relationships/hyperlink" Target="http://www.opentraintimes.com/schedule/W39808/2012/8/7" TargetMode="External"/><Relationship Id="rId87" Type="http://schemas.openxmlformats.org/officeDocument/2006/relationships/hyperlink" Target="http://www.opentraintimes.com/schedule/W36734/2012/8/7" TargetMode="External"/><Relationship Id="rId110" Type="http://schemas.openxmlformats.org/officeDocument/2006/relationships/hyperlink" Target="http://www.opentraintimes.com/schedule/W30576/2012/8/7" TargetMode="External"/><Relationship Id="rId131" Type="http://schemas.openxmlformats.org/officeDocument/2006/relationships/hyperlink" Target="http://www.opentraintimes.com/schedule/W39481/2012/8/7" TargetMode="External"/><Relationship Id="rId327" Type="http://schemas.openxmlformats.org/officeDocument/2006/relationships/hyperlink" Target="http://www.opentraintimes.com/schedule/W39587/2012/8/7" TargetMode="External"/><Relationship Id="rId152" Type="http://schemas.openxmlformats.org/officeDocument/2006/relationships/hyperlink" Target="http://www.opentraintimes.com/schedule/W30604/2012/8/7" TargetMode="External"/><Relationship Id="rId173" Type="http://schemas.openxmlformats.org/officeDocument/2006/relationships/hyperlink" Target="http://www.opentraintimes.com/schedule/W39413/2012/8/7" TargetMode="External"/><Relationship Id="rId194" Type="http://schemas.openxmlformats.org/officeDocument/2006/relationships/hyperlink" Target="http://www.opentraintimes.com/schedule/W30215/2012/8/7" TargetMode="External"/><Relationship Id="rId208" Type="http://schemas.openxmlformats.org/officeDocument/2006/relationships/hyperlink" Target="http://www.opentraintimes.com/schedule/W39523/2012/8/7" TargetMode="External"/><Relationship Id="rId229" Type="http://schemas.openxmlformats.org/officeDocument/2006/relationships/hyperlink" Target="http://www.opentraintimes.com/schedule/W30668/2012/8/7" TargetMode="External"/><Relationship Id="rId240" Type="http://schemas.openxmlformats.org/officeDocument/2006/relationships/hyperlink" Target="http://www.opentraintimes.com/schedule/W39539/2012/8/7" TargetMode="External"/><Relationship Id="rId261" Type="http://schemas.openxmlformats.org/officeDocument/2006/relationships/hyperlink" Target="http://www.opentraintimes.com/schedule/W30692/2012/8/7" TargetMode="External"/><Relationship Id="rId14" Type="http://schemas.openxmlformats.org/officeDocument/2006/relationships/hyperlink" Target="http://www.opentraintimes.com/schedule/W39832/2012/8/7" TargetMode="External"/><Relationship Id="rId35" Type="http://schemas.openxmlformats.org/officeDocument/2006/relationships/hyperlink" Target="http://www.opentraintimes.com/schedule/W30118/2012/8/7" TargetMode="External"/><Relationship Id="rId56" Type="http://schemas.openxmlformats.org/officeDocument/2006/relationships/hyperlink" Target="http://www.opentraintimes.com/schedule/W30565/2012/8/7" TargetMode="External"/><Relationship Id="rId77" Type="http://schemas.openxmlformats.org/officeDocument/2006/relationships/hyperlink" Target="http://www.opentraintimes.com/schedule/W39620/2012/8/7" TargetMode="External"/><Relationship Id="rId100" Type="http://schemas.openxmlformats.org/officeDocument/2006/relationships/hyperlink" Target="http://www.opentraintimes.com/schedule/W39661/2012/8/7" TargetMode="External"/><Relationship Id="rId282" Type="http://schemas.openxmlformats.org/officeDocument/2006/relationships/hyperlink" Target="http://www.opentraintimes.com/schedule/W39753/2012/8/7" TargetMode="External"/><Relationship Id="rId317" Type="http://schemas.openxmlformats.org/officeDocument/2006/relationships/hyperlink" Target="http://www.opentraintimes.com/schedule/W39299/2012/8/7" TargetMode="External"/><Relationship Id="rId338" Type="http://schemas.openxmlformats.org/officeDocument/2006/relationships/hyperlink" Target="http://www.opentraintimes.com/schedule/W36738/2012/8/7" TargetMode="External"/><Relationship Id="rId8" Type="http://schemas.openxmlformats.org/officeDocument/2006/relationships/hyperlink" Target="http://www.opentraintimes.com/schedule/W39822/2012/8/7" TargetMode="External"/><Relationship Id="rId98" Type="http://schemas.openxmlformats.org/officeDocument/2006/relationships/hyperlink" Target="http://www.opentraintimes.com/schedule/W39802/2012/8/7" TargetMode="External"/><Relationship Id="rId121" Type="http://schemas.openxmlformats.org/officeDocument/2006/relationships/hyperlink" Target="http://www.opentraintimes.com/schedule/W30147/2012/8/7" TargetMode="External"/><Relationship Id="rId142" Type="http://schemas.openxmlformats.org/officeDocument/2006/relationships/hyperlink" Target="http://www.opentraintimes.com/schedule/W30600/2012/8/7" TargetMode="External"/><Relationship Id="rId163" Type="http://schemas.openxmlformats.org/officeDocument/2006/relationships/hyperlink" Target="http://www.opentraintimes.com/schedule/W39497/2012/8/7" TargetMode="External"/><Relationship Id="rId184" Type="http://schemas.openxmlformats.org/officeDocument/2006/relationships/hyperlink" Target="http://www.opentraintimes.com/schedule/W30628/2012/8/7" TargetMode="External"/><Relationship Id="rId219" Type="http://schemas.openxmlformats.org/officeDocument/2006/relationships/hyperlink" Target="http://www.opentraintimes.com/schedule/W39719/2012/8/7" TargetMode="External"/><Relationship Id="rId230" Type="http://schemas.openxmlformats.org/officeDocument/2006/relationships/hyperlink" Target="http://www.opentraintimes.com/schedule/W39535/2012/8/7" TargetMode="External"/><Relationship Id="rId251" Type="http://schemas.openxmlformats.org/officeDocument/2006/relationships/hyperlink" Target="http://www.opentraintimes.com/schedule/W39735/2012/8/7" TargetMode="External"/><Relationship Id="rId25" Type="http://schemas.openxmlformats.org/officeDocument/2006/relationships/hyperlink" Target="http://www.opentraintimes.com/schedule/W39447/2012/8/7" TargetMode="External"/><Relationship Id="rId46" Type="http://schemas.openxmlformats.org/officeDocument/2006/relationships/hyperlink" Target="http://www.opentraintimes.com/schedule/W30561/2012/8/7" TargetMode="External"/><Relationship Id="rId67" Type="http://schemas.openxmlformats.org/officeDocument/2006/relationships/hyperlink" Target="http://www.opentraintimes.com/schedule/W39612/2012/8/7" TargetMode="External"/><Relationship Id="rId116" Type="http://schemas.openxmlformats.org/officeDocument/2006/relationships/hyperlink" Target="http://www.opentraintimes.com/schedule/W39669/2012/8/7" TargetMode="External"/><Relationship Id="rId137" Type="http://schemas.openxmlformats.org/officeDocument/2006/relationships/hyperlink" Target="http://www.opentraintimes.com/schedule/W30162/2012/8/7" TargetMode="External"/><Relationship Id="rId158" Type="http://schemas.openxmlformats.org/officeDocument/2006/relationships/hyperlink" Target="http://www.opentraintimes.com/schedule/W30610/2012/8/7" TargetMode="External"/><Relationship Id="rId272" Type="http://schemas.openxmlformats.org/officeDocument/2006/relationships/hyperlink" Target="http://www.opentraintimes.com/schedule/W39555/2012/8/7" TargetMode="External"/><Relationship Id="rId293" Type="http://schemas.openxmlformats.org/officeDocument/2006/relationships/hyperlink" Target="http://www.opentraintimes.com/schedule/W30716/2012/8/7" TargetMode="External"/><Relationship Id="rId302" Type="http://schemas.openxmlformats.org/officeDocument/2006/relationships/hyperlink" Target="http://www.opentraintimes.com/schedule/W30719/2012/8/7" TargetMode="External"/><Relationship Id="rId307" Type="http://schemas.openxmlformats.org/officeDocument/2006/relationships/hyperlink" Target="http://www.opentraintimes.com/schedule/W39573/2012/8/7" TargetMode="External"/><Relationship Id="rId323" Type="http://schemas.openxmlformats.org/officeDocument/2006/relationships/hyperlink" Target="http://www.opentraintimes.com/schedule/W30321/2012/8/7" TargetMode="External"/><Relationship Id="rId328" Type="http://schemas.openxmlformats.org/officeDocument/2006/relationships/hyperlink" Target="http://www.opentraintimes.com/schedule/W39583/2012/8/7" TargetMode="External"/><Relationship Id="rId344" Type="http://schemas.openxmlformats.org/officeDocument/2006/relationships/hyperlink" Target="http://www.opentraintimes.com/schedule/W36740/2012/8/7" TargetMode="External"/><Relationship Id="rId20" Type="http://schemas.openxmlformats.org/officeDocument/2006/relationships/hyperlink" Target="http://www.opentraintimes.com/schedule/W38838/2012/8/7" TargetMode="External"/><Relationship Id="rId41" Type="http://schemas.openxmlformats.org/officeDocument/2006/relationships/hyperlink" Target="http://www.opentraintimes.com/schedule/W39455/2012/8/7" TargetMode="External"/><Relationship Id="rId62" Type="http://schemas.openxmlformats.org/officeDocument/2006/relationships/hyperlink" Target="http://www.opentraintimes.com/schedule/W39830/2012/8/7" TargetMode="External"/><Relationship Id="rId83" Type="http://schemas.openxmlformats.org/officeDocument/2006/relationships/hyperlink" Target="http://www.opentraintimes.com/schedule/W39638/2012/8/7" TargetMode="External"/><Relationship Id="rId88" Type="http://schemas.openxmlformats.org/officeDocument/2006/relationships/hyperlink" Target="http://www.opentraintimes.com/schedule/W39640/2012/8/7" TargetMode="External"/><Relationship Id="rId111" Type="http://schemas.openxmlformats.org/officeDocument/2006/relationships/hyperlink" Target="http://www.opentraintimes.com/schedule/W30577/2012/8/7" TargetMode="External"/><Relationship Id="rId132" Type="http://schemas.openxmlformats.org/officeDocument/2006/relationships/hyperlink" Target="http://www.opentraintimes.com/schedule/W39677/2012/8/7" TargetMode="External"/><Relationship Id="rId153" Type="http://schemas.openxmlformats.org/officeDocument/2006/relationships/hyperlink" Target="http://www.opentraintimes.com/schedule/W30177/2012/8/7" TargetMode="External"/><Relationship Id="rId174" Type="http://schemas.openxmlformats.org/officeDocument/2006/relationships/hyperlink" Target="http://www.opentraintimes.com/schedule/W30624/2012/8/7" TargetMode="External"/><Relationship Id="rId179" Type="http://schemas.openxmlformats.org/officeDocument/2006/relationships/hyperlink" Target="http://www.opentraintimes.com/schedule/W39509/2012/8/7" TargetMode="External"/><Relationship Id="rId195" Type="http://schemas.openxmlformats.org/officeDocument/2006/relationships/hyperlink" Target="http://www.opentraintimes.com/schedule/W39517/2012/8/7" TargetMode="External"/><Relationship Id="rId209" Type="http://schemas.openxmlformats.org/officeDocument/2006/relationships/hyperlink" Target="http://www.opentraintimes.com/schedule/W39715/2012/8/7" TargetMode="External"/><Relationship Id="rId190" Type="http://schemas.openxmlformats.org/officeDocument/2006/relationships/hyperlink" Target="http://www.opentraintimes.com/schedule/W30634/2012/8/7" TargetMode="External"/><Relationship Id="rId204" Type="http://schemas.openxmlformats.org/officeDocument/2006/relationships/hyperlink" Target="http://www.opentraintimes.com/schedule/W39419/2012/8/7" TargetMode="External"/><Relationship Id="rId220" Type="http://schemas.openxmlformats.org/officeDocument/2006/relationships/hyperlink" Target="http://www.opentraintimes.com/schedule/W39423/2012/8/7" TargetMode="External"/><Relationship Id="rId225" Type="http://schemas.openxmlformats.org/officeDocument/2006/relationships/hyperlink" Target="http://www.opentraintimes.com/schedule/W39723/2012/8/7" TargetMode="External"/><Relationship Id="rId241" Type="http://schemas.openxmlformats.org/officeDocument/2006/relationships/hyperlink" Target="http://www.opentraintimes.com/schedule/W39731/2012/8/7" TargetMode="External"/><Relationship Id="rId246" Type="http://schemas.openxmlformats.org/officeDocument/2006/relationships/hyperlink" Target="http://www.opentraintimes.com/schedule/W39543/2012/8/7" TargetMode="External"/><Relationship Id="rId267" Type="http://schemas.openxmlformats.org/officeDocument/2006/relationships/hyperlink" Target="http://www.opentraintimes.com/schedule/W39743/2012/8/7" TargetMode="External"/><Relationship Id="rId288" Type="http://schemas.openxmlformats.org/officeDocument/2006/relationships/hyperlink" Target="http://www.opentraintimes.com/schedule/W39563/2012/8/7" TargetMode="External"/><Relationship Id="rId15" Type="http://schemas.openxmlformats.org/officeDocument/2006/relationships/hyperlink" Target="http://www.opentraintimes.com/schedule/W39838/2012/8/7" TargetMode="External"/><Relationship Id="rId36" Type="http://schemas.openxmlformats.org/officeDocument/2006/relationships/hyperlink" Target="http://www.opentraintimes.com/schedule/W39649/2012/8/7" TargetMode="External"/><Relationship Id="rId57" Type="http://schemas.openxmlformats.org/officeDocument/2006/relationships/hyperlink" Target="http://www.opentraintimes.com/schedule/W39463/2012/8/7" TargetMode="External"/><Relationship Id="rId106" Type="http://schemas.openxmlformats.org/officeDocument/2006/relationships/hyperlink" Target="http://www.opentraintimes.com/schedule/W39665/2012/8/7" TargetMode="External"/><Relationship Id="rId127" Type="http://schemas.openxmlformats.org/officeDocument/2006/relationships/hyperlink" Target="http://www.opentraintimes.com/schedule/W30589/2012/8/7" TargetMode="External"/><Relationship Id="rId262" Type="http://schemas.openxmlformats.org/officeDocument/2006/relationships/hyperlink" Target="http://www.opentraintimes.com/schedule/W39551/2012/8/7" TargetMode="External"/><Relationship Id="rId283" Type="http://schemas.openxmlformats.org/officeDocument/2006/relationships/hyperlink" Target="http://www.opentraintimes.com/schedule/W39751/2012/8/7" TargetMode="External"/><Relationship Id="rId313" Type="http://schemas.openxmlformats.org/officeDocument/2006/relationships/hyperlink" Target="http://www.opentraintimes.com/schedule/W39767/2012/8/7" TargetMode="External"/><Relationship Id="rId318" Type="http://schemas.openxmlformats.org/officeDocument/2006/relationships/hyperlink" Target="http://www.opentraintimes.com/schedule/W39581/2012/8/7" TargetMode="External"/><Relationship Id="rId339" Type="http://schemas.openxmlformats.org/officeDocument/2006/relationships/hyperlink" Target="http://www.opentraintimes.com/schedule/W30743/2012/8/7" TargetMode="External"/><Relationship Id="rId10" Type="http://schemas.openxmlformats.org/officeDocument/2006/relationships/hyperlink" Target="http://www.opentraintimes.com/schedule/W39826/2012/8/7" TargetMode="External"/><Relationship Id="rId31" Type="http://schemas.openxmlformats.org/officeDocument/2006/relationships/hyperlink" Target="http://www.opentraintimes.com/schedule/W39449/2012/8/7" TargetMode="External"/><Relationship Id="rId52" Type="http://schemas.openxmlformats.org/officeDocument/2006/relationships/hyperlink" Target="http://www.opentraintimes.com/schedule/W39655/2012/8/7" TargetMode="External"/><Relationship Id="rId73" Type="http://schemas.openxmlformats.org/officeDocument/2006/relationships/hyperlink" Target="http://www.opentraintimes.com/schedule/W39810/2012/8/7" TargetMode="External"/><Relationship Id="rId78" Type="http://schemas.openxmlformats.org/officeDocument/2006/relationships/hyperlink" Target="http://www.opentraintimes.com/schedule/W39636/2012/8/7" TargetMode="External"/><Relationship Id="rId94" Type="http://schemas.openxmlformats.org/officeDocument/2006/relationships/hyperlink" Target="http://www.opentraintimes.com/schedule/W39604/2012/8/7" TargetMode="External"/><Relationship Id="rId99" Type="http://schemas.openxmlformats.org/officeDocument/2006/relationships/hyperlink" Target="http://www.opentraintimes.com/schedule/W36749/2012/8/7" TargetMode="External"/><Relationship Id="rId101" Type="http://schemas.openxmlformats.org/officeDocument/2006/relationships/hyperlink" Target="http://www.opentraintimes.com/schedule/W30571/2012/8/7" TargetMode="External"/><Relationship Id="rId122" Type="http://schemas.openxmlformats.org/officeDocument/2006/relationships/hyperlink" Target="http://www.opentraintimes.com/schedule/W39673/2012/8/7" TargetMode="External"/><Relationship Id="rId143" Type="http://schemas.openxmlformats.org/officeDocument/2006/relationships/hyperlink" Target="http://www.opentraintimes.com/schedule/W30601/2012/8/7" TargetMode="External"/><Relationship Id="rId148" Type="http://schemas.openxmlformats.org/officeDocument/2006/relationships/hyperlink" Target="http://www.opentraintimes.com/schedule/W39685/2012/8/7" TargetMode="External"/><Relationship Id="rId164" Type="http://schemas.openxmlformats.org/officeDocument/2006/relationships/hyperlink" Target="http://www.opentraintimes.com/schedule/W39693/2012/8/7" TargetMode="External"/><Relationship Id="rId169" Type="http://schemas.openxmlformats.org/officeDocument/2006/relationships/hyperlink" Target="http://www.opentraintimes.com/schedule/W30191/2012/8/7" TargetMode="External"/><Relationship Id="rId185" Type="http://schemas.openxmlformats.org/officeDocument/2006/relationships/hyperlink" Target="http://www.opentraintimes.com/schedule/W30206/2012/8/7" TargetMode="External"/><Relationship Id="rId334" Type="http://schemas.openxmlformats.org/officeDocument/2006/relationships/hyperlink" Target="http://www.opentraintimes.com/schedule/W39787/2012/8/7" TargetMode="External"/><Relationship Id="rId4" Type="http://schemas.openxmlformats.org/officeDocument/2006/relationships/hyperlink" Target="http://www.opentraintimes.com/schedule/W39444/2012/8/7" TargetMode="External"/><Relationship Id="rId9" Type="http://schemas.openxmlformats.org/officeDocument/2006/relationships/hyperlink" Target="http://www.opentraintimes.com/schedule/W39820/2012/8/7" TargetMode="External"/><Relationship Id="rId180" Type="http://schemas.openxmlformats.org/officeDocument/2006/relationships/hyperlink" Target="http://www.opentraintimes.com/schedule/W39701/2012/8/7" TargetMode="External"/><Relationship Id="rId210" Type="http://schemas.openxmlformats.org/officeDocument/2006/relationships/hyperlink" Target="http://www.opentraintimes.com/schedule/W30227/2012/8/7" TargetMode="External"/><Relationship Id="rId215" Type="http://schemas.openxmlformats.org/officeDocument/2006/relationships/hyperlink" Target="http://www.opentraintimes.com/schedule/W39529/2012/8/7" TargetMode="External"/><Relationship Id="rId236" Type="http://schemas.openxmlformats.org/officeDocument/2006/relationships/hyperlink" Target="http://www.opentraintimes.com/schedule/W39427/2012/8/7" TargetMode="External"/><Relationship Id="rId257" Type="http://schemas.openxmlformats.org/officeDocument/2006/relationships/hyperlink" Target="http://www.opentraintimes.com/schedule/W39739/2012/8/7" TargetMode="External"/><Relationship Id="rId278" Type="http://schemas.openxmlformats.org/officeDocument/2006/relationships/hyperlink" Target="http://www.opentraintimes.com/schedule/W39559/2012/8/7" TargetMode="External"/><Relationship Id="rId26" Type="http://schemas.openxmlformats.org/officeDocument/2006/relationships/hyperlink" Target="http://www.opentraintimes.com/schedule/W30550/2012/8/7" TargetMode="External"/><Relationship Id="rId231" Type="http://schemas.openxmlformats.org/officeDocument/2006/relationships/hyperlink" Target="http://www.opentraintimes.com/schedule/W39537/2012/8/7" TargetMode="External"/><Relationship Id="rId252" Type="http://schemas.openxmlformats.org/officeDocument/2006/relationships/hyperlink" Target="http://www.opentraintimes.com/schedule/W39295/2012/8/7" TargetMode="External"/><Relationship Id="rId273" Type="http://schemas.openxmlformats.org/officeDocument/2006/relationships/hyperlink" Target="http://www.opentraintimes.com/schedule/W39747/2012/8/7" TargetMode="External"/><Relationship Id="rId294" Type="http://schemas.openxmlformats.org/officeDocument/2006/relationships/hyperlink" Target="http://www.opentraintimes.com/schedule/W39567/2012/8/7" TargetMode="External"/><Relationship Id="rId308" Type="http://schemas.openxmlformats.org/officeDocument/2006/relationships/hyperlink" Target="http://www.opentraintimes.com/schedule/W39765/2012/8/7" TargetMode="External"/><Relationship Id="rId329" Type="http://schemas.openxmlformats.org/officeDocument/2006/relationships/hyperlink" Target="http://www.opentraintimes.com/schedule/W30737/2012/8/7" TargetMode="External"/><Relationship Id="rId47" Type="http://schemas.openxmlformats.org/officeDocument/2006/relationships/hyperlink" Target="http://www.opentraintimes.com/schedule/W39459/2012/8/7" TargetMode="External"/><Relationship Id="rId68" Type="http://schemas.openxmlformats.org/officeDocument/2006/relationships/hyperlink" Target="http://www.opentraintimes.com/schedule/W39614/2012/8/7" TargetMode="External"/><Relationship Id="rId89" Type="http://schemas.openxmlformats.org/officeDocument/2006/relationships/hyperlink" Target="http://www.opentraintimes.com/schedule/W39603/2012/8/6" TargetMode="External"/><Relationship Id="rId112" Type="http://schemas.openxmlformats.org/officeDocument/2006/relationships/hyperlink" Target="http://www.opentraintimes.com/schedule/W39471/2012/8/7" TargetMode="External"/><Relationship Id="rId133" Type="http://schemas.openxmlformats.org/officeDocument/2006/relationships/hyperlink" Target="http://www.opentraintimes.com/schedule/W30595/2012/8/7" TargetMode="External"/><Relationship Id="rId154" Type="http://schemas.openxmlformats.org/officeDocument/2006/relationships/hyperlink" Target="http://www.opentraintimes.com/schedule/W39689/2012/8/7" TargetMode="External"/><Relationship Id="rId175" Type="http://schemas.openxmlformats.org/officeDocument/2006/relationships/hyperlink" Target="http://www.opentraintimes.com/schedule/W30625/2012/8/7" TargetMode="External"/><Relationship Id="rId340" Type="http://schemas.openxmlformats.org/officeDocument/2006/relationships/hyperlink" Target="http://www.opentraintimes.com/schedule/W39789/2012/8/7" TargetMode="External"/><Relationship Id="rId196" Type="http://schemas.openxmlformats.org/officeDocument/2006/relationships/hyperlink" Target="http://www.opentraintimes.com/schedule/W39709/2012/8/7" TargetMode="External"/><Relationship Id="rId200" Type="http://schemas.openxmlformats.org/officeDocument/2006/relationships/hyperlink" Target="http://www.opentraintimes.com/schedule/W30640/2012/8/7" TargetMode="External"/><Relationship Id="rId16" Type="http://schemas.openxmlformats.org/officeDocument/2006/relationships/hyperlink" Target="http://www.opentraintimes.com/schedule/W39836/2012/8/7" TargetMode="External"/><Relationship Id="rId221" Type="http://schemas.openxmlformats.org/officeDocument/2006/relationships/hyperlink" Target="http://www.opentraintimes.com/schedule/W39425/2012/8/7" TargetMode="External"/><Relationship Id="rId242" Type="http://schemas.openxmlformats.org/officeDocument/2006/relationships/hyperlink" Target="http://www.opentraintimes.com/schedule/W30254/2012/8/7" TargetMode="External"/><Relationship Id="rId263" Type="http://schemas.openxmlformats.org/officeDocument/2006/relationships/hyperlink" Target="http://www.opentraintimes.com/schedule/W39553/2012/8/7" TargetMode="External"/><Relationship Id="rId284" Type="http://schemas.openxmlformats.org/officeDocument/2006/relationships/hyperlink" Target="http://www.opentraintimes.com/schedule/W39437/2012/8/7" TargetMode="External"/><Relationship Id="rId319" Type="http://schemas.openxmlformats.org/officeDocument/2006/relationships/hyperlink" Target="http://www.opentraintimes.com/schedule/W30734/2012/8/7" TargetMode="External"/><Relationship Id="rId37" Type="http://schemas.openxmlformats.org/officeDocument/2006/relationships/hyperlink" Target="http://www.opentraintimes.com/schedule/W38829/2012/8/7" TargetMode="External"/><Relationship Id="rId58" Type="http://schemas.openxmlformats.org/officeDocument/2006/relationships/hyperlink" Target="http://www.opentraintimes.com/schedule/W39659/2012/8/7" TargetMode="External"/><Relationship Id="rId79" Type="http://schemas.openxmlformats.org/officeDocument/2006/relationships/hyperlink" Target="http://www.opentraintimes.com/schedule/W39816/2012/8/7" TargetMode="External"/><Relationship Id="rId102" Type="http://schemas.openxmlformats.org/officeDocument/2006/relationships/hyperlink" Target="http://www.opentraintimes.com/schedule/W39467/2012/8/7" TargetMode="External"/><Relationship Id="rId123" Type="http://schemas.openxmlformats.org/officeDocument/2006/relationships/hyperlink" Target="http://www.opentraintimes.com/schedule/W39671/2012/8/7" TargetMode="External"/><Relationship Id="rId144" Type="http://schemas.openxmlformats.org/officeDocument/2006/relationships/hyperlink" Target="http://www.opentraintimes.com/schedule/W39487/2012/8/7" TargetMode="External"/><Relationship Id="rId330" Type="http://schemas.openxmlformats.org/officeDocument/2006/relationships/hyperlink" Target="http://www.opentraintimes.com/schedule/W30740/2012/8/7" TargetMode="External"/><Relationship Id="rId90" Type="http://schemas.openxmlformats.org/officeDocument/2006/relationships/hyperlink" Target="http://www.opentraintimes.com/schedule/W39795/2012/8/6" TargetMode="External"/><Relationship Id="rId165" Type="http://schemas.openxmlformats.org/officeDocument/2006/relationships/hyperlink" Target="http://www.opentraintimes.com/schedule/W30619/2012/8/7" TargetMode="External"/><Relationship Id="rId186" Type="http://schemas.openxmlformats.org/officeDocument/2006/relationships/hyperlink" Target="http://www.opentraintimes.com/schedule/W39705/2012/8/7" TargetMode="External"/><Relationship Id="rId211" Type="http://schemas.openxmlformats.org/officeDocument/2006/relationships/hyperlink" Target="http://www.opentraintimes.com/schedule/W39525/2012/8/7" TargetMode="External"/><Relationship Id="rId232" Type="http://schemas.openxmlformats.org/officeDocument/2006/relationships/hyperlink" Target="http://www.opentraintimes.com/schedule/W30664/2012/8/7" TargetMode="External"/><Relationship Id="rId253" Type="http://schemas.openxmlformats.org/officeDocument/2006/relationships/hyperlink" Target="http://www.opentraintimes.com/schedule/W39431/2012/8/7" TargetMode="External"/><Relationship Id="rId274" Type="http://schemas.openxmlformats.org/officeDocument/2006/relationships/hyperlink" Target="http://www.opentraintimes.com/schedule/W30279/2012/8/7" TargetMode="External"/><Relationship Id="rId295" Type="http://schemas.openxmlformats.org/officeDocument/2006/relationships/hyperlink" Target="http://www.opentraintimes.com/schedule/W39569/2012/8/7" TargetMode="External"/><Relationship Id="rId309" Type="http://schemas.openxmlformats.org/officeDocument/2006/relationships/hyperlink" Target="http://www.opentraintimes.com/schedule/W00663/2012/8/7" TargetMode="External"/><Relationship Id="rId27" Type="http://schemas.openxmlformats.org/officeDocument/2006/relationships/hyperlink" Target="http://www.opentraintimes.com/schedule/W39647/2012/8/7" TargetMode="External"/><Relationship Id="rId48" Type="http://schemas.openxmlformats.org/officeDocument/2006/relationships/hyperlink" Target="http://www.opentraintimes.com/schedule/W39461/2012/8/7" TargetMode="External"/><Relationship Id="rId69" Type="http://schemas.openxmlformats.org/officeDocument/2006/relationships/hyperlink" Target="http://www.opentraintimes.com/schedule/W34001/2012/8/7" TargetMode="External"/><Relationship Id="rId113" Type="http://schemas.openxmlformats.org/officeDocument/2006/relationships/hyperlink" Target="http://www.opentraintimes.com/schedule/W39667/2012/8/7" TargetMode="External"/><Relationship Id="rId134" Type="http://schemas.openxmlformats.org/officeDocument/2006/relationships/hyperlink" Target="http://www.opentraintimes.com/schedule/W39483/2012/8/7" TargetMode="External"/><Relationship Id="rId320" Type="http://schemas.openxmlformats.org/officeDocument/2006/relationships/hyperlink" Target="http://www.opentraintimes.com/schedule/W30731/2012/8/7" TargetMode="External"/><Relationship Id="rId80" Type="http://schemas.openxmlformats.org/officeDocument/2006/relationships/hyperlink" Target="http://www.opentraintimes.com/schedule/W36780/2012/8/7" TargetMode="External"/><Relationship Id="rId155" Type="http://schemas.openxmlformats.org/officeDocument/2006/relationships/hyperlink" Target="http://www.opentraintimes.com/schedule/W39687/2012/8/7" TargetMode="External"/><Relationship Id="rId176" Type="http://schemas.openxmlformats.org/officeDocument/2006/relationships/hyperlink" Target="http://www.opentraintimes.com/schedule/W39503/2012/8/7" TargetMode="External"/><Relationship Id="rId197" Type="http://schemas.openxmlformats.org/officeDocument/2006/relationships/hyperlink" Target="http://www.opentraintimes.com/schedule/W30643/2012/8/7" TargetMode="External"/><Relationship Id="rId341" Type="http://schemas.openxmlformats.org/officeDocument/2006/relationships/hyperlink" Target="http://www.opentraintimes.com/schedule/W39593/2012/8/7" TargetMode="External"/><Relationship Id="rId201" Type="http://schemas.openxmlformats.org/officeDocument/2006/relationships/hyperlink" Target="http://www.opentraintimes.com/schedule/W30219/2012/8/7" TargetMode="External"/><Relationship Id="rId222" Type="http://schemas.openxmlformats.org/officeDocument/2006/relationships/hyperlink" Target="http://www.opentraintimes.com/schedule/W30658/2012/8/7" TargetMode="External"/><Relationship Id="rId243" Type="http://schemas.openxmlformats.org/officeDocument/2006/relationships/hyperlink" Target="http://www.opentraintimes.com/schedule/W39541/2012/8/7" TargetMode="External"/><Relationship Id="rId264" Type="http://schemas.openxmlformats.org/officeDocument/2006/relationships/hyperlink" Target="http://www.opentraintimes.com/schedule/W30689/2012/8/7" TargetMode="External"/><Relationship Id="rId285" Type="http://schemas.openxmlformats.org/officeDocument/2006/relationships/hyperlink" Target="http://www.opentraintimes.com/schedule/W39439/2012/8/7" TargetMode="External"/><Relationship Id="rId17" Type="http://schemas.openxmlformats.org/officeDocument/2006/relationships/hyperlink" Target="http://www.opentraintimes.com/schedule/W38837/2012/8/7" TargetMode="External"/><Relationship Id="rId38" Type="http://schemas.openxmlformats.org/officeDocument/2006/relationships/hyperlink" Target="http://www.opentraintimes.com/schedule/W00066/2012/8/7" TargetMode="External"/><Relationship Id="rId59" Type="http://schemas.openxmlformats.org/officeDocument/2006/relationships/hyperlink" Target="http://www.opentraintimes.com/schedule/W30131/2012/8/7" TargetMode="External"/><Relationship Id="rId103" Type="http://schemas.openxmlformats.org/officeDocument/2006/relationships/hyperlink" Target="http://www.opentraintimes.com/schedule/W39469/2012/8/7" TargetMode="External"/><Relationship Id="rId124" Type="http://schemas.openxmlformats.org/officeDocument/2006/relationships/hyperlink" Target="http://www.opentraintimes.com/schedule/W39399/2012/8/7" TargetMode="External"/><Relationship Id="rId310" Type="http://schemas.openxmlformats.org/officeDocument/2006/relationships/hyperlink" Target="http://www.opentraintimes.com/schedule/W39575/2012/8/7" TargetMode="External"/><Relationship Id="rId70" Type="http://schemas.openxmlformats.org/officeDocument/2006/relationships/hyperlink" Target="http://www.opentraintimes.com/schedule/W34007/2012/8/7" TargetMode="External"/><Relationship Id="rId91" Type="http://schemas.openxmlformats.org/officeDocument/2006/relationships/hyperlink" Target="http://www.opentraintimes.com/schedule/W39797/2012/8/6" TargetMode="External"/><Relationship Id="rId145" Type="http://schemas.openxmlformats.org/officeDocument/2006/relationships/hyperlink" Target="http://www.opentraintimes.com/schedule/W39683/2012/8/7" TargetMode="External"/><Relationship Id="rId166" Type="http://schemas.openxmlformats.org/officeDocument/2006/relationships/hyperlink" Target="http://www.opentraintimes.com/schedule/W39499/2012/8/7" TargetMode="External"/><Relationship Id="rId187" Type="http://schemas.openxmlformats.org/officeDocument/2006/relationships/hyperlink" Target="http://www.opentraintimes.com/schedule/W39703/2012/8/7" TargetMode="External"/><Relationship Id="rId331" Type="http://schemas.openxmlformats.org/officeDocument/2006/relationships/hyperlink" Target="http://www.opentraintimes.com/schedule/W39585/2012/8/7" TargetMode="External"/><Relationship Id="rId1" Type="http://schemas.openxmlformats.org/officeDocument/2006/relationships/hyperlink" Target="http://www.opentraintimes.com/schedule/W39630/2012/8/7" TargetMode="External"/><Relationship Id="rId212" Type="http://schemas.openxmlformats.org/officeDocument/2006/relationships/hyperlink" Target="http://www.opentraintimes.com/schedule/W39717/2012/8/7" TargetMode="External"/><Relationship Id="rId233" Type="http://schemas.openxmlformats.org/officeDocument/2006/relationships/hyperlink" Target="http://www.opentraintimes.com/schedule/W30244/2012/8/7" TargetMode="External"/><Relationship Id="rId254" Type="http://schemas.openxmlformats.org/officeDocument/2006/relationships/hyperlink" Target="http://www.opentraintimes.com/schedule/W30683/2012/8/7" TargetMode="External"/><Relationship Id="rId28" Type="http://schemas.openxmlformats.org/officeDocument/2006/relationships/hyperlink" Target="http://www.opentraintimes.com/schedule/W30114/2012/8/7" TargetMode="External"/><Relationship Id="rId49" Type="http://schemas.openxmlformats.org/officeDocument/2006/relationships/hyperlink" Target="http://www.opentraintimes.com/schedule/W30560/2012/8/7" TargetMode="External"/><Relationship Id="rId114" Type="http://schemas.openxmlformats.org/officeDocument/2006/relationships/hyperlink" Target="http://www.opentraintimes.com/schedule/W30142/2012/8/7" TargetMode="External"/><Relationship Id="rId275" Type="http://schemas.openxmlformats.org/officeDocument/2006/relationships/hyperlink" Target="http://www.opentraintimes.com/schedule/W39557/2012/8/7" TargetMode="External"/><Relationship Id="rId296" Type="http://schemas.openxmlformats.org/officeDocument/2006/relationships/hyperlink" Target="http://www.opentraintimes.com/schedule/W30713/2012/8/7" TargetMode="External"/><Relationship Id="rId300" Type="http://schemas.openxmlformats.org/officeDocument/2006/relationships/hyperlink" Target="http://www.opentraintimes.com/schedule/W39441/2012/8/7" TargetMode="External"/><Relationship Id="rId60" Type="http://schemas.openxmlformats.org/officeDocument/2006/relationships/hyperlink" Target="http://www.opentraintimes.com/schedule/W39465/2012/8/7" TargetMode="External"/><Relationship Id="rId81" Type="http://schemas.openxmlformats.org/officeDocument/2006/relationships/hyperlink" Target="http://www.opentraintimes.com/schedule/W36752/2012/8/7" TargetMode="External"/><Relationship Id="rId135" Type="http://schemas.openxmlformats.org/officeDocument/2006/relationships/hyperlink" Target="http://www.opentraintimes.com/schedule/W39485/2012/8/7" TargetMode="External"/><Relationship Id="rId156" Type="http://schemas.openxmlformats.org/officeDocument/2006/relationships/hyperlink" Target="http://www.opentraintimes.com/schedule/W39407/2012/8/7" TargetMode="External"/><Relationship Id="rId177" Type="http://schemas.openxmlformats.org/officeDocument/2006/relationships/hyperlink" Target="http://www.opentraintimes.com/schedule/W39699/2012/8/7" TargetMode="External"/><Relationship Id="rId198" Type="http://schemas.openxmlformats.org/officeDocument/2006/relationships/hyperlink" Target="http://www.opentraintimes.com/schedule/W39519/2012/8/7" TargetMode="External"/><Relationship Id="rId321" Type="http://schemas.openxmlformats.org/officeDocument/2006/relationships/hyperlink" Target="http://www.opentraintimes.com/schedule/W39579/2012/8/7" TargetMode="External"/><Relationship Id="rId342" Type="http://schemas.openxmlformats.org/officeDocument/2006/relationships/hyperlink" Target="http://www.opentraintimes.com/schedule/W39793/2012/8/7" TargetMode="External"/><Relationship Id="rId202" Type="http://schemas.openxmlformats.org/officeDocument/2006/relationships/hyperlink" Target="http://www.opentraintimes.com/schedule/W39713/2012/8/7" TargetMode="External"/><Relationship Id="rId223" Type="http://schemas.openxmlformats.org/officeDocument/2006/relationships/hyperlink" Target="http://www.opentraintimes.com/schedule/W30661/2012/8/7" TargetMode="External"/><Relationship Id="rId244" Type="http://schemas.openxmlformats.org/officeDocument/2006/relationships/hyperlink" Target="http://www.opentraintimes.com/schedule/W39733/2012/8/7" TargetMode="External"/><Relationship Id="rId18" Type="http://schemas.openxmlformats.org/officeDocument/2006/relationships/hyperlink" Target="http://www.opentraintimes.com/schedule/W38835/2012/8/7" TargetMode="External"/><Relationship Id="rId39" Type="http://schemas.openxmlformats.org/officeDocument/2006/relationships/hyperlink" Target="http://www.opentraintimes.com/schedule/W30005/2012/8/7" TargetMode="External"/><Relationship Id="rId265" Type="http://schemas.openxmlformats.org/officeDocument/2006/relationships/hyperlink" Target="http://www.opentraintimes.com/schedule/W30271/2012/8/7" TargetMode="External"/><Relationship Id="rId286" Type="http://schemas.openxmlformats.org/officeDocument/2006/relationships/hyperlink" Target="http://www.opentraintimes.com/schedule/W30707/2012/8/7" TargetMode="External"/><Relationship Id="rId50" Type="http://schemas.openxmlformats.org/officeDocument/2006/relationships/hyperlink" Target="http://www.opentraintimes.com/schedule/W30123/2012/8/7" TargetMode="External"/><Relationship Id="rId104" Type="http://schemas.openxmlformats.org/officeDocument/2006/relationships/hyperlink" Target="http://www.opentraintimes.com/schedule/W30568/2012/8/7" TargetMode="External"/><Relationship Id="rId125" Type="http://schemas.openxmlformats.org/officeDocument/2006/relationships/hyperlink" Target="http://www.opentraintimes.com/schedule/W39401/2012/8/7" TargetMode="External"/><Relationship Id="rId146" Type="http://schemas.openxmlformats.org/officeDocument/2006/relationships/hyperlink" Target="http://www.opentraintimes.com/schedule/W30171/2012/8/7" TargetMode="External"/><Relationship Id="rId167" Type="http://schemas.openxmlformats.org/officeDocument/2006/relationships/hyperlink" Target="http://www.opentraintimes.com/schedule/W39501/2012/8/7" TargetMode="External"/><Relationship Id="rId188" Type="http://schemas.openxmlformats.org/officeDocument/2006/relationships/hyperlink" Target="http://www.opentraintimes.com/schedule/W39415/2012/8/7" TargetMode="External"/><Relationship Id="rId311" Type="http://schemas.openxmlformats.org/officeDocument/2006/relationships/hyperlink" Target="http://www.opentraintimes.com/schedule/W39577/2012/8/7" TargetMode="External"/><Relationship Id="rId332" Type="http://schemas.openxmlformats.org/officeDocument/2006/relationships/hyperlink" Target="http://www.opentraintimes.com/schedule/W39783/2012/8/7" TargetMode="External"/><Relationship Id="rId71" Type="http://schemas.openxmlformats.org/officeDocument/2006/relationships/hyperlink" Target="http://www.opentraintimes.com/schedule/W39616/2012/8/7" TargetMode="External"/><Relationship Id="rId92" Type="http://schemas.openxmlformats.org/officeDocument/2006/relationships/hyperlink" Target="http://www.opentraintimes.com/schedule/W36743/2012/8/6" TargetMode="External"/><Relationship Id="rId213" Type="http://schemas.openxmlformats.org/officeDocument/2006/relationships/hyperlink" Target="http://www.opentraintimes.com/schedule/W30655/2012/8/7" TargetMode="External"/><Relationship Id="rId234" Type="http://schemas.openxmlformats.org/officeDocument/2006/relationships/hyperlink" Target="http://www.opentraintimes.com/schedule/W39729/2012/8/7" TargetMode="External"/><Relationship Id="rId2" Type="http://schemas.openxmlformats.org/officeDocument/2006/relationships/hyperlink" Target="http://www.opentraintimes.com/schedule/W39642/2012/8/7" TargetMode="External"/><Relationship Id="rId29" Type="http://schemas.openxmlformats.org/officeDocument/2006/relationships/hyperlink" Target="http://www.opentraintimes.com/schedule/W39451/2012/8/7" TargetMode="External"/><Relationship Id="rId255" Type="http://schemas.openxmlformats.org/officeDocument/2006/relationships/hyperlink" Target="http://www.opentraintimes.com/schedule/W30686/2012/8/7" TargetMode="External"/><Relationship Id="rId276" Type="http://schemas.openxmlformats.org/officeDocument/2006/relationships/hyperlink" Target="http://www.opentraintimes.com/schedule/W39749/2012/8/7" TargetMode="External"/><Relationship Id="rId297" Type="http://schemas.openxmlformats.org/officeDocument/2006/relationships/hyperlink" Target="http://www.opentraintimes.com/schedule/W30296/2012/8/7" TargetMode="External"/><Relationship Id="rId40" Type="http://schemas.openxmlformats.org/officeDocument/2006/relationships/hyperlink" Target="http://www.opentraintimes.com/schedule/W30559/2012/8/7" TargetMode="External"/><Relationship Id="rId115" Type="http://schemas.openxmlformats.org/officeDocument/2006/relationships/hyperlink" Target="http://www.opentraintimes.com/schedule/W39473/2012/8/7" TargetMode="External"/><Relationship Id="rId136" Type="http://schemas.openxmlformats.org/officeDocument/2006/relationships/hyperlink" Target="http://www.opentraintimes.com/schedule/W30592/2012/8/7" TargetMode="External"/><Relationship Id="rId157" Type="http://schemas.openxmlformats.org/officeDocument/2006/relationships/hyperlink" Target="http://www.opentraintimes.com/schedule/W39409/2012/8/7" TargetMode="External"/><Relationship Id="rId178" Type="http://schemas.openxmlformats.org/officeDocument/2006/relationships/hyperlink" Target="http://www.opentraintimes.com/schedule/W30200/2012/8/7" TargetMode="External"/><Relationship Id="rId301" Type="http://schemas.openxmlformats.org/officeDocument/2006/relationships/hyperlink" Target="http://www.opentraintimes.com/schedule/W39297/2012/8/7" TargetMode="External"/><Relationship Id="rId322" Type="http://schemas.openxmlformats.org/officeDocument/2006/relationships/hyperlink" Target="http://www.opentraintimes.com/schedule/W39775/2012/8/7" TargetMode="External"/><Relationship Id="rId343" Type="http://schemas.openxmlformats.org/officeDocument/2006/relationships/hyperlink" Target="http://www.opentraintimes.com/schedule/W39597/2012/8/7" TargetMode="External"/><Relationship Id="rId61" Type="http://schemas.openxmlformats.org/officeDocument/2006/relationships/hyperlink" Target="http://www.opentraintimes.com/schedule/W39628/2012/8/7" TargetMode="External"/><Relationship Id="rId82" Type="http://schemas.openxmlformats.org/officeDocument/2006/relationships/hyperlink" Target="http://www.opentraintimes.com/schedule/W36755/2012/8/7" TargetMode="External"/><Relationship Id="rId199" Type="http://schemas.openxmlformats.org/officeDocument/2006/relationships/hyperlink" Target="http://www.opentraintimes.com/schedule/W39521/2012/8/7" TargetMode="External"/><Relationship Id="rId203" Type="http://schemas.openxmlformats.org/officeDocument/2006/relationships/hyperlink" Target="http://www.opentraintimes.com/schedule/W39711/2012/8/7" TargetMode="External"/><Relationship Id="rId19" Type="http://schemas.openxmlformats.org/officeDocument/2006/relationships/hyperlink" Target="http://www.opentraintimes.com/schedule/W38840/2012/8/7" TargetMode="External"/><Relationship Id="rId224" Type="http://schemas.openxmlformats.org/officeDocument/2006/relationships/hyperlink" Target="http://www.opentraintimes.com/schedule/W39531/2012/8/7" TargetMode="External"/><Relationship Id="rId245" Type="http://schemas.openxmlformats.org/officeDocument/2006/relationships/hyperlink" Target="http://www.opentraintimes.com/schedule/W30680/2012/8/7" TargetMode="External"/><Relationship Id="rId266" Type="http://schemas.openxmlformats.org/officeDocument/2006/relationships/hyperlink" Target="http://www.opentraintimes.com/schedule/W39745/2012/8/7" TargetMode="External"/><Relationship Id="rId287" Type="http://schemas.openxmlformats.org/officeDocument/2006/relationships/hyperlink" Target="http://www.opentraintimes.com/schedule/W30710/2012/8/7" TargetMode="External"/><Relationship Id="rId30" Type="http://schemas.openxmlformats.org/officeDocument/2006/relationships/hyperlink" Target="http://www.opentraintimes.com/schedule/W30556/2012/8/7" TargetMode="External"/><Relationship Id="rId105" Type="http://schemas.openxmlformats.org/officeDocument/2006/relationships/hyperlink" Target="http://www.opentraintimes.com/schedule/W30133/2012/8/7" TargetMode="External"/><Relationship Id="rId126" Type="http://schemas.openxmlformats.org/officeDocument/2006/relationships/hyperlink" Target="http://www.opentraintimes.com/schedule/W30586/2012/8/7" TargetMode="External"/><Relationship Id="rId147" Type="http://schemas.openxmlformats.org/officeDocument/2006/relationships/hyperlink" Target="http://www.opentraintimes.com/schedule/W39489/2012/8/7" TargetMode="External"/><Relationship Id="rId168" Type="http://schemas.openxmlformats.org/officeDocument/2006/relationships/hyperlink" Target="http://www.opentraintimes.com/schedule/W30616/2012/8/7" TargetMode="External"/><Relationship Id="rId312" Type="http://schemas.openxmlformats.org/officeDocument/2006/relationships/hyperlink" Target="http://www.opentraintimes.com/schedule/W30725/2012/8/7" TargetMode="External"/><Relationship Id="rId333" Type="http://schemas.openxmlformats.org/officeDocument/2006/relationships/hyperlink" Target="http://www.opentraintimes.com/schedule/W39781/2012/8/7" TargetMode="External"/><Relationship Id="rId51" Type="http://schemas.openxmlformats.org/officeDocument/2006/relationships/hyperlink" Target="http://www.opentraintimes.com/schedule/W39657/2012/8/7" TargetMode="External"/><Relationship Id="rId72" Type="http://schemas.openxmlformats.org/officeDocument/2006/relationships/hyperlink" Target="http://www.opentraintimes.com/schedule/W39618/2012/8/7" TargetMode="External"/><Relationship Id="rId93" Type="http://schemas.openxmlformats.org/officeDocument/2006/relationships/hyperlink" Target="http://www.opentraintimes.com/schedule/W36746/2012/8/7" TargetMode="External"/><Relationship Id="rId189" Type="http://schemas.openxmlformats.org/officeDocument/2006/relationships/hyperlink" Target="http://www.opentraintimes.com/schedule/W39417/2012/8/7" TargetMode="External"/><Relationship Id="rId3" Type="http://schemas.openxmlformats.org/officeDocument/2006/relationships/hyperlink" Target="http://www.opentraintimes.com/schedule/W39632/2012/8/7" TargetMode="External"/><Relationship Id="rId214" Type="http://schemas.openxmlformats.org/officeDocument/2006/relationships/hyperlink" Target="http://www.opentraintimes.com/schedule/W39527/2012/8/7" TargetMode="External"/><Relationship Id="rId235" Type="http://schemas.openxmlformats.org/officeDocument/2006/relationships/hyperlink" Target="http://www.opentraintimes.com/schedule/W39727/2012/8/7" TargetMode="External"/><Relationship Id="rId256" Type="http://schemas.openxmlformats.org/officeDocument/2006/relationships/hyperlink" Target="http://www.opentraintimes.com/schedule/W39547/2012/8/7" TargetMode="External"/><Relationship Id="rId277" Type="http://schemas.openxmlformats.org/officeDocument/2006/relationships/hyperlink" Target="http://www.opentraintimes.com/schedule/W30704/2012/8/7" TargetMode="External"/><Relationship Id="rId298" Type="http://schemas.openxmlformats.org/officeDocument/2006/relationships/hyperlink" Target="http://www.opentraintimes.com/schedule/W39761/2012/8/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346"/>
  <sheetViews>
    <sheetView tabSelected="1" zoomScaleNormal="100" workbookViewId="0">
      <selection activeCell="C5" sqref="C5"/>
    </sheetView>
  </sheetViews>
  <sheetFormatPr defaultRowHeight="15" x14ac:dyDescent="0.25"/>
  <cols>
    <col min="1" max="1" width="6.5703125" customWidth="1"/>
    <col min="2" max="2" width="13.85546875" customWidth="1"/>
    <col min="3" max="3" width="14.28515625" customWidth="1"/>
    <col min="4" max="4" width="17.85546875" customWidth="1"/>
    <col min="5" max="5" width="14.140625" customWidth="1"/>
    <col min="6" max="6" width="19" customWidth="1"/>
    <col min="7" max="7" width="14.42578125" customWidth="1"/>
    <col min="8" max="8" width="7.140625" customWidth="1"/>
    <col min="9" max="9" width="8.140625" customWidth="1"/>
    <col min="10" max="11" width="10.140625" customWidth="1"/>
    <col min="12" max="12" width="10.140625" hidden="1" customWidth="1"/>
    <col min="13" max="13" width="9" style="9" customWidth="1"/>
    <col min="14" max="14" width="19" customWidth="1"/>
    <col min="15" max="15" width="13.42578125" customWidth="1"/>
    <col min="16" max="16" width="9.7109375" customWidth="1"/>
    <col min="17" max="17" width="11.85546875" customWidth="1"/>
    <col min="18" max="18" width="10.140625" customWidth="1"/>
    <col min="19" max="19" width="13.5703125" customWidth="1"/>
    <col min="20" max="20" width="10.28515625" customWidth="1"/>
    <col min="21" max="21" width="15" customWidth="1"/>
    <col min="22" max="22" width="12" customWidth="1"/>
  </cols>
  <sheetData>
    <row r="1" spans="1:22" s="1" customFormat="1" ht="30" customHeight="1" x14ac:dyDescent="0.25">
      <c r="A1" s="11" t="s">
        <v>1035</v>
      </c>
      <c r="B1" s="1" t="s">
        <v>175</v>
      </c>
      <c r="C1" s="1" t="s">
        <v>176</v>
      </c>
      <c r="D1" s="1" t="s">
        <v>641</v>
      </c>
      <c r="E1" s="1" t="s">
        <v>179</v>
      </c>
      <c r="F1" s="1" t="s">
        <v>640</v>
      </c>
      <c r="G1" s="1" t="s">
        <v>177</v>
      </c>
      <c r="H1" s="1" t="s">
        <v>178</v>
      </c>
      <c r="I1" s="1" t="s">
        <v>642</v>
      </c>
      <c r="J1" s="1" t="s">
        <v>643</v>
      </c>
      <c r="K1" s="1" t="s">
        <v>644</v>
      </c>
      <c r="L1" s="6" t="s">
        <v>488</v>
      </c>
      <c r="M1" s="7" t="s">
        <v>487</v>
      </c>
      <c r="N1" s="1" t="s">
        <v>1019</v>
      </c>
      <c r="O1" s="1" t="s">
        <v>1020</v>
      </c>
      <c r="P1" s="1" t="s">
        <v>1021</v>
      </c>
      <c r="Q1" s="1" t="s">
        <v>1022</v>
      </c>
      <c r="R1" s="1" t="s">
        <v>1023</v>
      </c>
      <c r="S1" s="1" t="s">
        <v>1024</v>
      </c>
      <c r="T1" s="1" t="s">
        <v>1025</v>
      </c>
      <c r="U1" s="1" t="s">
        <v>1026</v>
      </c>
      <c r="V1" s="1" t="s">
        <v>1027</v>
      </c>
    </row>
    <row r="2" spans="1:22" s="4" customFormat="1" ht="15" customHeight="1" x14ac:dyDescent="0.25">
      <c r="A2" s="10"/>
      <c r="B2" s="3" t="s">
        <v>246</v>
      </c>
      <c r="C2" s="1" t="s">
        <v>247</v>
      </c>
      <c r="D2" s="2" t="s">
        <v>635</v>
      </c>
      <c r="E2" s="1" t="s">
        <v>490</v>
      </c>
      <c r="F2" s="2" t="s">
        <v>636</v>
      </c>
      <c r="G2" s="1" t="s">
        <v>248</v>
      </c>
      <c r="H2" s="1" t="s">
        <v>3</v>
      </c>
      <c r="I2" t="str">
        <f t="shared" ref="I2:I12" si="0">LEFT(B2,2)</f>
        <v>1H</v>
      </c>
      <c r="J2" t="str">
        <f t="shared" ref="J2:J12" si="1">LEFT(C2,5)</f>
        <v xml:space="preserve">2357 </v>
      </c>
      <c r="K2" t="str">
        <f t="shared" ref="K2:K12" si="2">LEFT(G2,5)</f>
        <v xml:space="preserve">0001 </v>
      </c>
      <c r="L2" t="str">
        <f>LEFT(E2,6)</f>
        <v>Plat 4</v>
      </c>
      <c r="M2" s="8" t="str">
        <f>RIGHT(L2,1)</f>
        <v>4</v>
      </c>
      <c r="N2" s="4" t="s">
        <v>636</v>
      </c>
    </row>
    <row r="3" spans="1:22" s="4" customFormat="1" ht="15" customHeight="1" x14ac:dyDescent="0.25">
      <c r="A3" s="10"/>
      <c r="B3" s="3" t="s">
        <v>249</v>
      </c>
      <c r="C3" s="1" t="s">
        <v>248</v>
      </c>
      <c r="D3" s="2" t="s">
        <v>636</v>
      </c>
      <c r="E3" s="1" t="s">
        <v>491</v>
      </c>
      <c r="F3" s="2" t="s">
        <v>635</v>
      </c>
      <c r="G3" s="1" t="s">
        <v>250</v>
      </c>
      <c r="H3" s="1" t="s">
        <v>3</v>
      </c>
      <c r="I3" t="str">
        <f t="shared" si="0"/>
        <v>1L</v>
      </c>
      <c r="J3" t="str">
        <f t="shared" si="1"/>
        <v xml:space="preserve">0001 </v>
      </c>
      <c r="K3" t="str">
        <f t="shared" si="2"/>
        <v xml:space="preserve">0005 </v>
      </c>
      <c r="L3" t="str">
        <f t="shared" ref="L3:L66" si="3">LEFT(E3,6)</f>
        <v>Plat 2</v>
      </c>
      <c r="M3" s="8" t="str">
        <f t="shared" ref="M3:M66" si="4">RIGHT(L3,1)</f>
        <v>2</v>
      </c>
      <c r="N3" s="4" t="s">
        <v>635</v>
      </c>
    </row>
    <row r="4" spans="1:22" s="4" customFormat="1" ht="15" customHeight="1" x14ac:dyDescent="0.25">
      <c r="A4" s="10"/>
      <c r="B4" s="3" t="s">
        <v>251</v>
      </c>
      <c r="C4" s="1" t="s">
        <v>252</v>
      </c>
      <c r="D4" s="2" t="s">
        <v>635</v>
      </c>
      <c r="E4" s="1" t="s">
        <v>489</v>
      </c>
      <c r="F4" s="2" t="s">
        <v>636</v>
      </c>
      <c r="G4" s="1" t="s">
        <v>253</v>
      </c>
      <c r="H4" s="1" t="s">
        <v>3</v>
      </c>
      <c r="I4" t="str">
        <f t="shared" si="0"/>
        <v>1L</v>
      </c>
      <c r="J4" t="str">
        <f t="shared" si="1"/>
        <v>0001½</v>
      </c>
      <c r="K4" t="str">
        <f t="shared" si="2"/>
        <v>0005½</v>
      </c>
      <c r="L4" t="str">
        <f t="shared" si="3"/>
        <v>Plat 3</v>
      </c>
      <c r="M4" s="8" t="str">
        <f t="shared" si="4"/>
        <v>3</v>
      </c>
      <c r="N4" s="4" t="s">
        <v>636</v>
      </c>
    </row>
    <row r="5" spans="1:22" s="4" customFormat="1" ht="15" customHeight="1" x14ac:dyDescent="0.25">
      <c r="A5" s="10"/>
      <c r="B5" s="3" t="s">
        <v>254</v>
      </c>
      <c r="C5" s="1" t="s">
        <v>250</v>
      </c>
      <c r="D5" s="2" t="s">
        <v>636</v>
      </c>
      <c r="E5" s="1" t="s">
        <v>492</v>
      </c>
      <c r="F5" s="2" t="s">
        <v>635</v>
      </c>
      <c r="G5" s="1" t="s">
        <v>255</v>
      </c>
      <c r="H5" s="1" t="s">
        <v>3</v>
      </c>
      <c r="I5" t="str">
        <f t="shared" si="0"/>
        <v>1H</v>
      </c>
      <c r="J5" t="str">
        <f t="shared" si="1"/>
        <v xml:space="preserve">0005 </v>
      </c>
      <c r="K5" t="str">
        <f t="shared" si="2"/>
        <v xml:space="preserve">0010 </v>
      </c>
      <c r="L5" t="str">
        <f t="shared" si="3"/>
        <v>Plat 1</v>
      </c>
      <c r="M5" s="8" t="str">
        <f t="shared" si="4"/>
        <v>1</v>
      </c>
      <c r="N5" s="4" t="s">
        <v>635</v>
      </c>
    </row>
    <row r="6" spans="1:22" s="4" customFormat="1" ht="15" customHeight="1" x14ac:dyDescent="0.25">
      <c r="A6" s="10"/>
      <c r="B6" s="3" t="s">
        <v>256</v>
      </c>
      <c r="C6" s="1" t="s">
        <v>257</v>
      </c>
      <c r="D6" s="2" t="s">
        <v>635</v>
      </c>
      <c r="E6" s="1" t="s">
        <v>490</v>
      </c>
      <c r="F6" s="2" t="s">
        <v>636</v>
      </c>
      <c r="G6" s="1" t="s">
        <v>258</v>
      </c>
      <c r="H6" s="1" t="s">
        <v>3</v>
      </c>
      <c r="I6" t="str">
        <f t="shared" si="0"/>
        <v>1H</v>
      </c>
      <c r="J6" t="str">
        <f t="shared" si="1"/>
        <v xml:space="preserve">0008 </v>
      </c>
      <c r="K6" t="str">
        <f t="shared" si="2"/>
        <v xml:space="preserve">0012 </v>
      </c>
      <c r="L6" t="str">
        <f t="shared" si="3"/>
        <v>Plat 4</v>
      </c>
      <c r="M6" s="8" t="str">
        <f t="shared" si="4"/>
        <v>4</v>
      </c>
      <c r="N6" s="4" t="s">
        <v>636</v>
      </c>
    </row>
    <row r="7" spans="1:22" s="4" customFormat="1" ht="15" customHeight="1" x14ac:dyDescent="0.25">
      <c r="A7" s="10"/>
      <c r="B7" s="3" t="s">
        <v>259</v>
      </c>
      <c r="C7" s="1" t="s">
        <v>260</v>
      </c>
      <c r="D7" s="2" t="s">
        <v>636</v>
      </c>
      <c r="E7" s="1" t="s">
        <v>491</v>
      </c>
      <c r="F7" s="2" t="s">
        <v>635</v>
      </c>
      <c r="G7" s="1" t="s">
        <v>261</v>
      </c>
      <c r="H7" s="1" t="s">
        <v>3</v>
      </c>
      <c r="I7" t="str">
        <f t="shared" si="0"/>
        <v>1H</v>
      </c>
      <c r="J7" t="str">
        <f t="shared" si="1"/>
        <v xml:space="preserve">0011 </v>
      </c>
      <c r="K7" t="str">
        <f t="shared" si="2"/>
        <v xml:space="preserve">0015 </v>
      </c>
      <c r="L7" t="str">
        <f t="shared" si="3"/>
        <v>Plat 2</v>
      </c>
      <c r="M7" s="8" t="str">
        <f t="shared" si="4"/>
        <v>2</v>
      </c>
      <c r="N7" s="4" t="s">
        <v>635</v>
      </c>
    </row>
    <row r="8" spans="1:22" s="4" customFormat="1" ht="15" customHeight="1" x14ac:dyDescent="0.25">
      <c r="A8" s="10"/>
      <c r="B8" s="3" t="s">
        <v>262</v>
      </c>
      <c r="C8" s="1" t="s">
        <v>258</v>
      </c>
      <c r="D8" s="2" t="s">
        <v>635</v>
      </c>
      <c r="E8" s="1" t="s">
        <v>489</v>
      </c>
      <c r="F8" s="2" t="s">
        <v>636</v>
      </c>
      <c r="G8" s="1" t="s">
        <v>263</v>
      </c>
      <c r="H8" s="1" t="s">
        <v>3</v>
      </c>
      <c r="I8" t="str">
        <f t="shared" si="0"/>
        <v>1L</v>
      </c>
      <c r="J8" t="str">
        <f t="shared" si="1"/>
        <v xml:space="preserve">0012 </v>
      </c>
      <c r="K8" t="str">
        <f t="shared" si="2"/>
        <v xml:space="preserve">0016 </v>
      </c>
      <c r="L8" t="str">
        <f t="shared" si="3"/>
        <v>Plat 3</v>
      </c>
      <c r="M8" s="8" t="str">
        <f t="shared" si="4"/>
        <v>3</v>
      </c>
      <c r="N8" s="4" t="s">
        <v>636</v>
      </c>
    </row>
    <row r="9" spans="1:22" s="4" customFormat="1" ht="15" customHeight="1" x14ac:dyDescent="0.25">
      <c r="A9" s="10"/>
      <c r="B9" s="3" t="s">
        <v>264</v>
      </c>
      <c r="C9" s="1" t="s">
        <v>263</v>
      </c>
      <c r="D9" s="2" t="s">
        <v>636</v>
      </c>
      <c r="E9" s="1" t="s">
        <v>492</v>
      </c>
      <c r="F9" s="2" t="s">
        <v>635</v>
      </c>
      <c r="G9" s="1" t="s">
        <v>265</v>
      </c>
      <c r="H9" s="1" t="s">
        <v>3</v>
      </c>
      <c r="I9" t="str">
        <f t="shared" si="0"/>
        <v>1L</v>
      </c>
      <c r="J9" t="str">
        <f t="shared" si="1"/>
        <v xml:space="preserve">0016 </v>
      </c>
      <c r="K9" t="str">
        <f t="shared" si="2"/>
        <v xml:space="preserve">0020 </v>
      </c>
      <c r="L9" t="str">
        <f t="shared" si="3"/>
        <v>Plat 1</v>
      </c>
      <c r="M9" s="8" t="str">
        <f t="shared" si="4"/>
        <v>1</v>
      </c>
      <c r="N9" s="4" t="s">
        <v>635</v>
      </c>
    </row>
    <row r="10" spans="1:22" s="4" customFormat="1" ht="15" customHeight="1" x14ac:dyDescent="0.25">
      <c r="A10" s="10"/>
      <c r="B10" s="3" t="s">
        <v>266</v>
      </c>
      <c r="C10" s="1" t="s">
        <v>267</v>
      </c>
      <c r="D10" s="2" t="s">
        <v>635</v>
      </c>
      <c r="E10" s="1" t="s">
        <v>490</v>
      </c>
      <c r="F10" s="2" t="s">
        <v>636</v>
      </c>
      <c r="G10" s="1" t="s">
        <v>268</v>
      </c>
      <c r="H10" s="1" t="s">
        <v>3</v>
      </c>
      <c r="I10" t="str">
        <f t="shared" si="0"/>
        <v>1L</v>
      </c>
      <c r="J10" t="str">
        <f t="shared" si="1"/>
        <v>0016½</v>
      </c>
      <c r="K10" t="str">
        <f t="shared" si="2"/>
        <v>0020½</v>
      </c>
      <c r="L10" t="str">
        <f t="shared" si="3"/>
        <v>Plat 4</v>
      </c>
      <c r="M10" s="8" t="str">
        <f t="shared" si="4"/>
        <v>4</v>
      </c>
      <c r="N10" s="4" t="s">
        <v>636</v>
      </c>
    </row>
    <row r="11" spans="1:22" s="4" customFormat="1" ht="15" customHeight="1" x14ac:dyDescent="0.25">
      <c r="A11" s="10"/>
      <c r="B11" s="3" t="s">
        <v>269</v>
      </c>
      <c r="C11" s="1" t="s">
        <v>270</v>
      </c>
      <c r="D11" s="2" t="s">
        <v>636</v>
      </c>
      <c r="E11" s="1" t="s">
        <v>491</v>
      </c>
      <c r="F11" s="2" t="s">
        <v>635</v>
      </c>
      <c r="G11" s="1" t="s">
        <v>271</v>
      </c>
      <c r="H11" s="1" t="s">
        <v>3</v>
      </c>
      <c r="I11" t="str">
        <f t="shared" si="0"/>
        <v>1L</v>
      </c>
      <c r="J11" t="str">
        <f t="shared" si="1"/>
        <v xml:space="preserve">0021 </v>
      </c>
      <c r="K11" t="str">
        <f t="shared" si="2"/>
        <v xml:space="preserve">0025 </v>
      </c>
      <c r="L11" t="str">
        <f t="shared" si="3"/>
        <v>Plat 2</v>
      </c>
      <c r="M11" s="8" t="str">
        <f t="shared" si="4"/>
        <v>2</v>
      </c>
      <c r="N11" s="4" t="s">
        <v>635</v>
      </c>
    </row>
    <row r="12" spans="1:22" s="4" customFormat="1" ht="15" customHeight="1" x14ac:dyDescent="0.25">
      <c r="A12" s="10"/>
      <c r="B12" s="3" t="s">
        <v>272</v>
      </c>
      <c r="C12" s="1" t="s">
        <v>273</v>
      </c>
      <c r="D12" s="2" t="s">
        <v>635</v>
      </c>
      <c r="E12" s="1" t="s">
        <v>489</v>
      </c>
      <c r="F12" s="2" t="s">
        <v>636</v>
      </c>
      <c r="G12" s="1" t="s">
        <v>274</v>
      </c>
      <c r="H12" s="1" t="s">
        <v>3</v>
      </c>
      <c r="I12" t="str">
        <f t="shared" si="0"/>
        <v>1H</v>
      </c>
      <c r="J12" t="str">
        <f t="shared" si="1"/>
        <v xml:space="preserve">0023 </v>
      </c>
      <c r="K12" t="str">
        <f t="shared" si="2"/>
        <v xml:space="preserve">0027 </v>
      </c>
      <c r="L12" t="str">
        <f t="shared" si="3"/>
        <v>Plat 3</v>
      </c>
      <c r="M12" s="8" t="str">
        <f t="shared" si="4"/>
        <v>3</v>
      </c>
      <c r="N12" s="4" t="s">
        <v>636</v>
      </c>
    </row>
    <row r="13" spans="1:22" s="4" customFormat="1" ht="15" customHeight="1" x14ac:dyDescent="0.25">
      <c r="A13" s="10"/>
      <c r="B13" s="3" t="s">
        <v>180</v>
      </c>
      <c r="C13" s="1" t="s">
        <v>181</v>
      </c>
      <c r="D13" s="2" t="s">
        <v>636</v>
      </c>
      <c r="E13" s="1" t="s">
        <v>492</v>
      </c>
      <c r="F13" s="2" t="s">
        <v>635</v>
      </c>
      <c r="G13" s="1" t="s">
        <v>182</v>
      </c>
      <c r="H13" s="1" t="s">
        <v>3</v>
      </c>
      <c r="I13" t="str">
        <f t="shared" ref="I13:I37" si="5">LEFT(B13,2)</f>
        <v>1H</v>
      </c>
      <c r="J13" t="str">
        <f t="shared" ref="J13:J37" si="6">LEFT(C13,5)</f>
        <v xml:space="preserve">0026 </v>
      </c>
      <c r="K13" t="str">
        <f t="shared" ref="K13:K37" si="7">LEFT(G13,5)</f>
        <v xml:space="preserve">0030 </v>
      </c>
      <c r="L13" t="str">
        <f t="shared" si="3"/>
        <v>Plat 1</v>
      </c>
      <c r="M13" s="8" t="str">
        <f t="shared" si="4"/>
        <v>1</v>
      </c>
      <c r="N13" s="4" t="s">
        <v>635</v>
      </c>
    </row>
    <row r="14" spans="1:22" s="4" customFormat="1" ht="15" customHeight="1" x14ac:dyDescent="0.25">
      <c r="A14" s="10"/>
      <c r="B14" s="3" t="s">
        <v>183</v>
      </c>
      <c r="C14" s="1" t="s">
        <v>184</v>
      </c>
      <c r="D14" s="2" t="s">
        <v>635</v>
      </c>
      <c r="E14" s="1" t="s">
        <v>490</v>
      </c>
      <c r="F14" s="2" t="s">
        <v>636</v>
      </c>
      <c r="G14" s="1" t="s">
        <v>185</v>
      </c>
      <c r="H14" s="1" t="s">
        <v>3</v>
      </c>
      <c r="I14" t="str">
        <f t="shared" si="5"/>
        <v>1L</v>
      </c>
      <c r="J14" t="str">
        <f t="shared" si="6"/>
        <v>0026½</v>
      </c>
      <c r="K14" t="str">
        <f t="shared" si="7"/>
        <v>0030½</v>
      </c>
      <c r="L14" t="str">
        <f t="shared" si="3"/>
        <v>Plat 4</v>
      </c>
      <c r="M14" s="8" t="str">
        <f t="shared" si="4"/>
        <v>4</v>
      </c>
      <c r="N14" s="4" t="s">
        <v>636</v>
      </c>
    </row>
    <row r="15" spans="1:22" s="4" customFormat="1" ht="15" customHeight="1" x14ac:dyDescent="0.25">
      <c r="A15" s="10"/>
      <c r="B15" s="3" t="s">
        <v>186</v>
      </c>
      <c r="C15" s="1" t="s">
        <v>187</v>
      </c>
      <c r="D15" s="2" t="s">
        <v>636</v>
      </c>
      <c r="E15" s="1" t="s">
        <v>491</v>
      </c>
      <c r="F15" s="2" t="s">
        <v>635</v>
      </c>
      <c r="G15" s="1" t="s">
        <v>188</v>
      </c>
      <c r="H15" s="1" t="s">
        <v>3</v>
      </c>
      <c r="I15" t="str">
        <f t="shared" si="5"/>
        <v>1H</v>
      </c>
      <c r="J15" t="str">
        <f t="shared" si="6"/>
        <v xml:space="preserve">0031 </v>
      </c>
      <c r="K15" t="str">
        <f t="shared" si="7"/>
        <v xml:space="preserve">0035 </v>
      </c>
      <c r="L15" t="str">
        <f t="shared" si="3"/>
        <v>Plat 2</v>
      </c>
      <c r="M15" s="8" t="str">
        <f t="shared" si="4"/>
        <v>2</v>
      </c>
      <c r="N15" s="4" t="s">
        <v>635</v>
      </c>
    </row>
    <row r="16" spans="1:22" s="4" customFormat="1" ht="15" customHeight="1" x14ac:dyDescent="0.25">
      <c r="A16" s="10"/>
      <c r="B16" s="3" t="s">
        <v>189</v>
      </c>
      <c r="C16" s="1" t="s">
        <v>190</v>
      </c>
      <c r="D16" s="2" t="s">
        <v>635</v>
      </c>
      <c r="E16" s="1" t="s">
        <v>489</v>
      </c>
      <c r="F16" s="2" t="s">
        <v>636</v>
      </c>
      <c r="G16" s="1" t="s">
        <v>191</v>
      </c>
      <c r="H16" s="1" t="s">
        <v>3</v>
      </c>
      <c r="I16" t="str">
        <f t="shared" si="5"/>
        <v>1H</v>
      </c>
      <c r="J16" t="str">
        <f t="shared" si="6"/>
        <v>0032½</v>
      </c>
      <c r="K16" t="str">
        <f t="shared" si="7"/>
        <v>0036½</v>
      </c>
      <c r="L16" t="str">
        <f t="shared" si="3"/>
        <v>Plat 3</v>
      </c>
      <c r="M16" s="8" t="str">
        <f t="shared" si="4"/>
        <v>3</v>
      </c>
      <c r="N16" s="4" t="s">
        <v>636</v>
      </c>
    </row>
    <row r="17" spans="1:15" s="4" customFormat="1" ht="15" customHeight="1" x14ac:dyDescent="0.25">
      <c r="A17" s="10"/>
      <c r="B17" s="3" t="s">
        <v>192</v>
      </c>
      <c r="C17" s="1" t="s">
        <v>188</v>
      </c>
      <c r="D17" s="2" t="s">
        <v>636</v>
      </c>
      <c r="E17" s="1" t="s">
        <v>492</v>
      </c>
      <c r="F17" s="2" t="s">
        <v>635</v>
      </c>
      <c r="G17" s="1" t="s">
        <v>193</v>
      </c>
      <c r="H17" s="1" t="s">
        <v>3</v>
      </c>
      <c r="I17" t="str">
        <f t="shared" si="5"/>
        <v>1L</v>
      </c>
      <c r="J17" t="str">
        <f t="shared" si="6"/>
        <v xml:space="preserve">0035 </v>
      </c>
      <c r="K17" t="str">
        <f t="shared" si="7"/>
        <v xml:space="preserve">0040 </v>
      </c>
      <c r="L17" t="str">
        <f t="shared" si="3"/>
        <v>Plat 1</v>
      </c>
      <c r="M17" s="8" t="str">
        <f t="shared" si="4"/>
        <v>1</v>
      </c>
      <c r="N17" s="4" t="s">
        <v>635</v>
      </c>
    </row>
    <row r="18" spans="1:15" s="4" customFormat="1" ht="15" customHeight="1" x14ac:dyDescent="0.25">
      <c r="A18" s="10"/>
      <c r="B18" s="3" t="s">
        <v>194</v>
      </c>
      <c r="C18" s="1" t="s">
        <v>195</v>
      </c>
      <c r="D18" s="2" t="s">
        <v>635</v>
      </c>
      <c r="E18" s="1" t="s">
        <v>490</v>
      </c>
      <c r="F18" s="2" t="s">
        <v>636</v>
      </c>
      <c r="G18" s="1" t="s">
        <v>196</v>
      </c>
      <c r="H18" s="1" t="s">
        <v>3</v>
      </c>
      <c r="I18" t="str">
        <f t="shared" si="5"/>
        <v>1L</v>
      </c>
      <c r="J18" t="str">
        <f t="shared" si="6"/>
        <v xml:space="preserve">0038 </v>
      </c>
      <c r="K18" t="str">
        <f t="shared" si="7"/>
        <v xml:space="preserve">0042 </v>
      </c>
      <c r="L18" t="str">
        <f t="shared" si="3"/>
        <v>Plat 4</v>
      </c>
      <c r="M18" s="8" t="str">
        <f t="shared" si="4"/>
        <v>4</v>
      </c>
      <c r="N18" s="4" t="s">
        <v>636</v>
      </c>
    </row>
    <row r="19" spans="1:15" s="4" customFormat="1" ht="15" customHeight="1" x14ac:dyDescent="0.25">
      <c r="A19" s="10"/>
      <c r="B19" s="3" t="s">
        <v>197</v>
      </c>
      <c r="C19" s="1" t="s">
        <v>198</v>
      </c>
      <c r="D19" s="2" t="s">
        <v>636</v>
      </c>
      <c r="E19" s="1" t="s">
        <v>491</v>
      </c>
      <c r="F19" s="2" t="s">
        <v>635</v>
      </c>
      <c r="G19" s="1" t="s">
        <v>199</v>
      </c>
      <c r="H19" s="1" t="s">
        <v>3</v>
      </c>
      <c r="I19" t="str">
        <f t="shared" si="5"/>
        <v>1H</v>
      </c>
      <c r="J19" t="str">
        <f t="shared" si="6"/>
        <v xml:space="preserve">0041 </v>
      </c>
      <c r="K19" t="str">
        <f t="shared" si="7"/>
        <v xml:space="preserve">0045 </v>
      </c>
      <c r="L19" t="str">
        <f t="shared" si="3"/>
        <v>Plat 2</v>
      </c>
      <c r="M19" s="8" t="str">
        <f t="shared" si="4"/>
        <v>2</v>
      </c>
      <c r="N19" s="4" t="s">
        <v>635</v>
      </c>
    </row>
    <row r="20" spans="1:15" s="4" customFormat="1" ht="15" customHeight="1" x14ac:dyDescent="0.25">
      <c r="A20" s="10"/>
      <c r="B20" s="3" t="s">
        <v>200</v>
      </c>
      <c r="C20" s="1" t="s">
        <v>196</v>
      </c>
      <c r="D20" s="2" t="s">
        <v>635</v>
      </c>
      <c r="E20" s="1" t="s">
        <v>489</v>
      </c>
      <c r="F20" s="2" t="s">
        <v>636</v>
      </c>
      <c r="G20" s="1" t="s">
        <v>201</v>
      </c>
      <c r="H20" s="1" t="s">
        <v>3</v>
      </c>
      <c r="I20" t="str">
        <f t="shared" si="5"/>
        <v>1H</v>
      </c>
      <c r="J20" t="str">
        <f t="shared" si="6"/>
        <v xml:space="preserve">0042 </v>
      </c>
      <c r="K20" t="str">
        <f t="shared" si="7"/>
        <v xml:space="preserve">0046 </v>
      </c>
      <c r="L20" t="str">
        <f t="shared" si="3"/>
        <v>Plat 3</v>
      </c>
      <c r="M20" s="8" t="str">
        <f t="shared" si="4"/>
        <v>3</v>
      </c>
      <c r="N20" s="4" t="s">
        <v>636</v>
      </c>
    </row>
    <row r="21" spans="1:15" s="4" customFormat="1" ht="15" customHeight="1" x14ac:dyDescent="0.25">
      <c r="A21" s="10"/>
      <c r="B21" s="3" t="s">
        <v>202</v>
      </c>
      <c r="C21" s="1" t="s">
        <v>201</v>
      </c>
      <c r="D21" s="2" t="s">
        <v>636</v>
      </c>
      <c r="E21" s="1" t="s">
        <v>492</v>
      </c>
      <c r="F21" s="2" t="s">
        <v>635</v>
      </c>
      <c r="G21" s="1" t="s">
        <v>203</v>
      </c>
      <c r="H21" s="1" t="s">
        <v>3</v>
      </c>
      <c r="I21" t="str">
        <f t="shared" si="5"/>
        <v>1L</v>
      </c>
      <c r="J21" t="str">
        <f t="shared" si="6"/>
        <v xml:space="preserve">0046 </v>
      </c>
      <c r="K21" t="str">
        <f t="shared" si="7"/>
        <v xml:space="preserve">0050 </v>
      </c>
      <c r="L21" t="str">
        <f t="shared" si="3"/>
        <v>Plat 1</v>
      </c>
      <c r="M21" s="8" t="str">
        <f t="shared" si="4"/>
        <v>1</v>
      </c>
      <c r="N21" s="4" t="s">
        <v>635</v>
      </c>
    </row>
    <row r="22" spans="1:15" s="4" customFormat="1" ht="15" customHeight="1" x14ac:dyDescent="0.25">
      <c r="A22" s="10"/>
      <c r="B22" s="3" t="s">
        <v>204</v>
      </c>
      <c r="C22" s="1" t="s">
        <v>205</v>
      </c>
      <c r="D22" s="2" t="s">
        <v>635</v>
      </c>
      <c r="E22" s="1" t="s">
        <v>490</v>
      </c>
      <c r="F22" s="2" t="s">
        <v>637</v>
      </c>
      <c r="G22" s="1" t="s">
        <v>206</v>
      </c>
      <c r="H22" s="1" t="s">
        <v>3</v>
      </c>
      <c r="I22" t="str">
        <f t="shared" si="5"/>
        <v>1J</v>
      </c>
      <c r="J22" t="str">
        <f t="shared" si="6"/>
        <v>0046½</v>
      </c>
      <c r="K22" t="str">
        <f t="shared" si="7"/>
        <v>0050½</v>
      </c>
      <c r="L22" t="str">
        <f t="shared" si="3"/>
        <v>Plat 4</v>
      </c>
      <c r="M22" s="8" t="str">
        <f t="shared" si="4"/>
        <v>4</v>
      </c>
      <c r="N22" s="4" t="s">
        <v>636</v>
      </c>
      <c r="O22" s="4" t="s">
        <v>637</v>
      </c>
    </row>
    <row r="23" spans="1:15" s="4" customFormat="1" ht="15" customHeight="1" x14ac:dyDescent="0.25">
      <c r="A23" s="10"/>
      <c r="B23" s="3" t="s">
        <v>207</v>
      </c>
      <c r="C23" s="1" t="s">
        <v>208</v>
      </c>
      <c r="D23" s="2" t="s">
        <v>636</v>
      </c>
      <c r="E23" s="1" t="s">
        <v>491</v>
      </c>
      <c r="F23" s="2" t="s">
        <v>635</v>
      </c>
      <c r="G23" s="1" t="s">
        <v>209</v>
      </c>
      <c r="H23" s="1" t="s">
        <v>3</v>
      </c>
      <c r="I23" t="str">
        <f t="shared" si="5"/>
        <v>1L</v>
      </c>
      <c r="J23" t="str">
        <f t="shared" si="6"/>
        <v xml:space="preserve">0051 </v>
      </c>
      <c r="K23" t="str">
        <f t="shared" si="7"/>
        <v xml:space="preserve">0055 </v>
      </c>
      <c r="L23" t="str">
        <f t="shared" si="3"/>
        <v>Plat 2</v>
      </c>
      <c r="M23" s="8" t="str">
        <f t="shared" si="4"/>
        <v>2</v>
      </c>
      <c r="N23" s="4" t="s">
        <v>635</v>
      </c>
    </row>
    <row r="24" spans="1:15" s="4" customFormat="1" ht="15" customHeight="1" x14ac:dyDescent="0.25">
      <c r="A24" s="10"/>
      <c r="B24" s="3" t="s">
        <v>210</v>
      </c>
      <c r="C24" s="1" t="s">
        <v>211</v>
      </c>
      <c r="D24" s="2" t="s">
        <v>635</v>
      </c>
      <c r="E24" s="1" t="s">
        <v>489</v>
      </c>
      <c r="F24" s="2" t="s">
        <v>636</v>
      </c>
      <c r="G24" s="1" t="s">
        <v>212</v>
      </c>
      <c r="H24" s="1" t="s">
        <v>3</v>
      </c>
      <c r="I24" t="str">
        <f t="shared" si="5"/>
        <v>1L</v>
      </c>
      <c r="J24" t="str">
        <f t="shared" si="6"/>
        <v xml:space="preserve">0053 </v>
      </c>
      <c r="K24" t="str">
        <f t="shared" si="7"/>
        <v xml:space="preserve">0057 </v>
      </c>
      <c r="L24" t="str">
        <f t="shared" si="3"/>
        <v>Plat 3</v>
      </c>
      <c r="M24" s="8" t="str">
        <f t="shared" si="4"/>
        <v>3</v>
      </c>
      <c r="N24" s="4" t="s">
        <v>636</v>
      </c>
    </row>
    <row r="25" spans="1:15" s="4" customFormat="1" ht="15" customHeight="1" x14ac:dyDescent="0.25">
      <c r="A25" s="10"/>
      <c r="B25" s="3" t="s">
        <v>213</v>
      </c>
      <c r="C25" s="1" t="s">
        <v>214</v>
      </c>
      <c r="D25" s="2" t="s">
        <v>636</v>
      </c>
      <c r="E25" s="1" t="s">
        <v>492</v>
      </c>
      <c r="F25" s="2" t="s">
        <v>635</v>
      </c>
      <c r="G25" s="1" t="s">
        <v>215</v>
      </c>
      <c r="H25" s="1" t="s">
        <v>3</v>
      </c>
      <c r="I25" t="str">
        <f t="shared" si="5"/>
        <v>1H</v>
      </c>
      <c r="J25" t="str">
        <f t="shared" si="6"/>
        <v xml:space="preserve">0056 </v>
      </c>
      <c r="K25" t="str">
        <f t="shared" si="7"/>
        <v xml:space="preserve">0100 </v>
      </c>
      <c r="L25" t="str">
        <f t="shared" si="3"/>
        <v>Plat 1</v>
      </c>
      <c r="M25" s="8" t="str">
        <f t="shared" si="4"/>
        <v>1</v>
      </c>
      <c r="N25" s="4" t="s">
        <v>635</v>
      </c>
    </row>
    <row r="26" spans="1:15" s="4" customFormat="1" ht="15" customHeight="1" x14ac:dyDescent="0.25">
      <c r="A26" s="10"/>
      <c r="B26" s="3" t="s">
        <v>216</v>
      </c>
      <c r="C26" s="1" t="s">
        <v>217</v>
      </c>
      <c r="D26" s="2" t="s">
        <v>635</v>
      </c>
      <c r="E26" s="1" t="s">
        <v>490</v>
      </c>
      <c r="F26" s="2" t="s">
        <v>636</v>
      </c>
      <c r="G26" s="1" t="s">
        <v>218</v>
      </c>
      <c r="H26" s="1" t="s">
        <v>3</v>
      </c>
      <c r="I26" t="str">
        <f t="shared" si="5"/>
        <v>1L</v>
      </c>
      <c r="J26" t="str">
        <f t="shared" si="6"/>
        <v>0056½</v>
      </c>
      <c r="K26" t="str">
        <f t="shared" si="7"/>
        <v>0100½</v>
      </c>
      <c r="L26" t="str">
        <f t="shared" si="3"/>
        <v>Plat 4</v>
      </c>
      <c r="M26" s="8" t="str">
        <f t="shared" si="4"/>
        <v>4</v>
      </c>
      <c r="N26" s="4" t="s">
        <v>636</v>
      </c>
    </row>
    <row r="27" spans="1:15" s="4" customFormat="1" ht="15" customHeight="1" x14ac:dyDescent="0.25">
      <c r="A27" s="10"/>
      <c r="B27" s="3" t="s">
        <v>219</v>
      </c>
      <c r="C27" s="1" t="s">
        <v>220</v>
      </c>
      <c r="D27" s="2" t="s">
        <v>636</v>
      </c>
      <c r="E27" s="1" t="s">
        <v>491</v>
      </c>
      <c r="F27" s="2" t="s">
        <v>635</v>
      </c>
      <c r="G27" s="1" t="s">
        <v>221</v>
      </c>
      <c r="H27" s="1" t="s">
        <v>3</v>
      </c>
      <c r="I27" t="str">
        <f t="shared" si="5"/>
        <v>1L</v>
      </c>
      <c r="J27" t="str">
        <f t="shared" si="6"/>
        <v xml:space="preserve">0101 </v>
      </c>
      <c r="K27" t="str">
        <f t="shared" si="7"/>
        <v xml:space="preserve">0105 </v>
      </c>
      <c r="L27" t="str">
        <f t="shared" si="3"/>
        <v>Plat 2</v>
      </c>
      <c r="M27" s="8" t="str">
        <f t="shared" si="4"/>
        <v>2</v>
      </c>
      <c r="N27" s="4" t="s">
        <v>635</v>
      </c>
    </row>
    <row r="28" spans="1:15" s="4" customFormat="1" ht="15" customHeight="1" x14ac:dyDescent="0.25">
      <c r="A28" s="10"/>
      <c r="B28" s="3" t="s">
        <v>222</v>
      </c>
      <c r="C28" s="1" t="s">
        <v>223</v>
      </c>
      <c r="D28" s="2" t="s">
        <v>635</v>
      </c>
      <c r="E28" s="1" t="s">
        <v>489</v>
      </c>
      <c r="F28" s="2" t="s">
        <v>637</v>
      </c>
      <c r="G28" s="1" t="s">
        <v>224</v>
      </c>
      <c r="H28" s="1" t="s">
        <v>3</v>
      </c>
      <c r="I28" t="str">
        <f t="shared" si="5"/>
        <v>1J</v>
      </c>
      <c r="J28" t="str">
        <f t="shared" si="6"/>
        <v>0102½</v>
      </c>
      <c r="K28" t="str">
        <f t="shared" si="7"/>
        <v>0106½</v>
      </c>
      <c r="L28" t="str">
        <f t="shared" si="3"/>
        <v>Plat 3</v>
      </c>
      <c r="M28" s="8" t="str">
        <f t="shared" si="4"/>
        <v>3</v>
      </c>
      <c r="N28" s="4" t="s">
        <v>636</v>
      </c>
      <c r="O28" s="4" t="s">
        <v>637</v>
      </c>
    </row>
    <row r="29" spans="1:15" s="4" customFormat="1" ht="15" customHeight="1" x14ac:dyDescent="0.25">
      <c r="A29" s="10"/>
      <c r="B29" s="3" t="s">
        <v>225</v>
      </c>
      <c r="C29" s="1" t="s">
        <v>226</v>
      </c>
      <c r="D29" s="2" t="s">
        <v>636</v>
      </c>
      <c r="E29" s="1" t="s">
        <v>492</v>
      </c>
      <c r="F29" s="2" t="s">
        <v>635</v>
      </c>
      <c r="G29" s="1" t="s">
        <v>227</v>
      </c>
      <c r="H29" s="1" t="s">
        <v>3</v>
      </c>
      <c r="I29" t="str">
        <f t="shared" si="5"/>
        <v>1H</v>
      </c>
      <c r="J29" t="str">
        <f t="shared" si="6"/>
        <v xml:space="preserve">0106 </v>
      </c>
      <c r="K29" t="str">
        <f t="shared" si="7"/>
        <v xml:space="preserve">0110 </v>
      </c>
      <c r="L29" t="str">
        <f t="shared" si="3"/>
        <v>Plat 1</v>
      </c>
      <c r="M29" s="8" t="str">
        <f t="shared" si="4"/>
        <v>1</v>
      </c>
      <c r="N29" s="4" t="s">
        <v>635</v>
      </c>
    </row>
    <row r="30" spans="1:15" s="4" customFormat="1" ht="15" customHeight="1" x14ac:dyDescent="0.25">
      <c r="A30" s="10"/>
      <c r="B30" s="3" t="s">
        <v>228</v>
      </c>
      <c r="C30" s="1" t="s">
        <v>229</v>
      </c>
      <c r="D30" s="2" t="s">
        <v>635</v>
      </c>
      <c r="E30" s="1" t="s">
        <v>490</v>
      </c>
      <c r="F30" s="2" t="s">
        <v>636</v>
      </c>
      <c r="G30" s="1" t="s">
        <v>230</v>
      </c>
      <c r="H30" s="1" t="s">
        <v>3</v>
      </c>
      <c r="I30" t="str">
        <f t="shared" si="5"/>
        <v>1H</v>
      </c>
      <c r="J30" t="str">
        <f t="shared" si="6"/>
        <v xml:space="preserve">0108 </v>
      </c>
      <c r="K30" t="str">
        <f t="shared" si="7"/>
        <v xml:space="preserve">0112 </v>
      </c>
      <c r="L30" t="str">
        <f t="shared" si="3"/>
        <v>Plat 4</v>
      </c>
      <c r="M30" s="8" t="str">
        <f t="shared" si="4"/>
        <v>4</v>
      </c>
      <c r="N30" s="4" t="s">
        <v>636</v>
      </c>
    </row>
    <row r="31" spans="1:15" s="4" customFormat="1" ht="15" customHeight="1" x14ac:dyDescent="0.25">
      <c r="A31" s="10"/>
      <c r="B31" s="3" t="s">
        <v>231</v>
      </c>
      <c r="C31" s="1" t="s">
        <v>230</v>
      </c>
      <c r="D31" s="2" t="s">
        <v>636</v>
      </c>
      <c r="E31" s="1" t="s">
        <v>491</v>
      </c>
      <c r="F31" s="2" t="s">
        <v>635</v>
      </c>
      <c r="G31" s="1" t="s">
        <v>232</v>
      </c>
      <c r="H31" s="1" t="s">
        <v>3</v>
      </c>
      <c r="I31" t="str">
        <f t="shared" si="5"/>
        <v>1L</v>
      </c>
      <c r="J31" t="str">
        <f t="shared" si="6"/>
        <v xml:space="preserve">0112 </v>
      </c>
      <c r="K31" t="str">
        <f t="shared" si="7"/>
        <v xml:space="preserve">0116 </v>
      </c>
      <c r="L31" t="str">
        <f t="shared" si="3"/>
        <v>Plat 2</v>
      </c>
      <c r="M31" s="8" t="str">
        <f t="shared" si="4"/>
        <v>2</v>
      </c>
      <c r="N31" s="4" t="s">
        <v>635</v>
      </c>
    </row>
    <row r="32" spans="1:15" s="4" customFormat="1" ht="15" customHeight="1" x14ac:dyDescent="0.25">
      <c r="A32" s="10"/>
      <c r="B32" s="3" t="s">
        <v>233</v>
      </c>
      <c r="C32" s="1" t="s">
        <v>230</v>
      </c>
      <c r="D32" s="2" t="s">
        <v>635</v>
      </c>
      <c r="E32" s="1" t="s">
        <v>489</v>
      </c>
      <c r="F32" s="2" t="s">
        <v>637</v>
      </c>
      <c r="G32" s="1" t="s">
        <v>232</v>
      </c>
      <c r="H32" s="1" t="s">
        <v>3</v>
      </c>
      <c r="I32" t="str">
        <f t="shared" si="5"/>
        <v>1J</v>
      </c>
      <c r="J32" t="str">
        <f t="shared" si="6"/>
        <v xml:space="preserve">0112 </v>
      </c>
      <c r="K32" t="str">
        <f t="shared" si="7"/>
        <v xml:space="preserve">0116 </v>
      </c>
      <c r="L32" t="str">
        <f t="shared" si="3"/>
        <v>Plat 3</v>
      </c>
      <c r="M32" s="8" t="str">
        <f t="shared" si="4"/>
        <v>3</v>
      </c>
      <c r="N32" s="4" t="s">
        <v>636</v>
      </c>
      <c r="O32" s="4" t="s">
        <v>637</v>
      </c>
    </row>
    <row r="33" spans="1:22" s="4" customFormat="1" ht="15" customHeight="1" x14ac:dyDescent="0.25">
      <c r="A33" s="10"/>
      <c r="B33" s="3" t="s">
        <v>234</v>
      </c>
      <c r="C33" s="1" t="s">
        <v>235</v>
      </c>
      <c r="D33" s="2" t="s">
        <v>635</v>
      </c>
      <c r="E33" s="1" t="s">
        <v>490</v>
      </c>
      <c r="F33" s="2" t="s">
        <v>637</v>
      </c>
      <c r="G33" s="1" t="s">
        <v>236</v>
      </c>
      <c r="H33" s="1" t="s">
        <v>3</v>
      </c>
      <c r="I33" t="str">
        <f t="shared" si="5"/>
        <v>1J</v>
      </c>
      <c r="J33" t="str">
        <f t="shared" si="6"/>
        <v>0116½</v>
      </c>
      <c r="K33" t="str">
        <f t="shared" si="7"/>
        <v>0120½</v>
      </c>
      <c r="L33" t="str">
        <f t="shared" si="3"/>
        <v>Plat 4</v>
      </c>
      <c r="M33" s="8" t="str">
        <f t="shared" si="4"/>
        <v>4</v>
      </c>
      <c r="N33" s="4" t="s">
        <v>636</v>
      </c>
      <c r="O33" s="4" t="s">
        <v>637</v>
      </c>
    </row>
    <row r="34" spans="1:22" s="4" customFormat="1" ht="15" customHeight="1" x14ac:dyDescent="0.25">
      <c r="A34" s="10"/>
      <c r="B34" s="3" t="s">
        <v>237</v>
      </c>
      <c r="C34" s="1" t="s">
        <v>238</v>
      </c>
      <c r="D34" s="2" t="s">
        <v>636</v>
      </c>
      <c r="E34" s="1" t="s">
        <v>492</v>
      </c>
      <c r="F34" s="2" t="s">
        <v>635</v>
      </c>
      <c r="G34" s="1" t="s">
        <v>239</v>
      </c>
      <c r="H34" s="1" t="s">
        <v>3</v>
      </c>
      <c r="I34" t="str">
        <f t="shared" si="5"/>
        <v>1H</v>
      </c>
      <c r="J34" t="str">
        <f t="shared" si="6"/>
        <v xml:space="preserve">0118 </v>
      </c>
      <c r="K34" t="str">
        <f t="shared" si="7"/>
        <v xml:space="preserve">0122 </v>
      </c>
      <c r="L34" t="str">
        <f t="shared" si="3"/>
        <v>Plat 1</v>
      </c>
      <c r="M34" s="8" t="str">
        <f t="shared" si="4"/>
        <v>1</v>
      </c>
      <c r="N34" s="4" t="s">
        <v>635</v>
      </c>
    </row>
    <row r="35" spans="1:22" s="4" customFormat="1" ht="15" customHeight="1" x14ac:dyDescent="0.25">
      <c r="A35" s="10"/>
      <c r="B35" s="3" t="s">
        <v>240</v>
      </c>
      <c r="C35" s="1" t="s">
        <v>241</v>
      </c>
      <c r="D35" s="2" t="s">
        <v>635</v>
      </c>
      <c r="E35" s="1" t="s">
        <v>489</v>
      </c>
      <c r="F35" s="2" t="s">
        <v>19</v>
      </c>
      <c r="G35" s="1" t="s">
        <v>242</v>
      </c>
      <c r="H35" s="1" t="s">
        <v>3</v>
      </c>
      <c r="I35" t="str">
        <f t="shared" si="5"/>
        <v>1F</v>
      </c>
      <c r="J35" t="str">
        <f t="shared" si="6"/>
        <v>0122½</v>
      </c>
      <c r="K35" t="str">
        <f t="shared" si="7"/>
        <v>0126½</v>
      </c>
      <c r="L35" t="str">
        <f t="shared" si="3"/>
        <v>Plat 3</v>
      </c>
      <c r="M35" s="8" t="str">
        <f t="shared" si="4"/>
        <v>3</v>
      </c>
      <c r="N35" s="4" t="s">
        <v>636</v>
      </c>
      <c r="O35" s="4" t="s">
        <v>1028</v>
      </c>
      <c r="P35" s="4" t="s">
        <v>1029</v>
      </c>
      <c r="Q35" s="4" t="s">
        <v>1030</v>
      </c>
      <c r="R35" s="4" t="s">
        <v>1031</v>
      </c>
      <c r="S35" s="4" t="s">
        <v>1032</v>
      </c>
      <c r="T35" s="4" t="s">
        <v>1033</v>
      </c>
      <c r="U35" s="4" t="s">
        <v>1034</v>
      </c>
      <c r="V35" s="4" t="s">
        <v>19</v>
      </c>
    </row>
    <row r="36" spans="1:22" s="4" customFormat="1" ht="15" customHeight="1" x14ac:dyDescent="0.25">
      <c r="A36" s="10"/>
      <c r="B36" s="3" t="s">
        <v>243</v>
      </c>
      <c r="C36" s="1" t="s">
        <v>244</v>
      </c>
      <c r="D36" s="2" t="s">
        <v>636</v>
      </c>
      <c r="E36" s="1" t="s">
        <v>491</v>
      </c>
      <c r="F36" s="2" t="s">
        <v>635</v>
      </c>
      <c r="G36" s="1" t="s">
        <v>245</v>
      </c>
      <c r="H36" s="1" t="s">
        <v>3</v>
      </c>
      <c r="I36" t="str">
        <f t="shared" si="5"/>
        <v>1L</v>
      </c>
      <c r="J36" t="str">
        <f t="shared" si="6"/>
        <v xml:space="preserve">0125 </v>
      </c>
      <c r="K36" t="str">
        <f t="shared" si="7"/>
        <v xml:space="preserve">0129 </v>
      </c>
      <c r="L36" t="str">
        <f t="shared" si="3"/>
        <v>Plat 2</v>
      </c>
      <c r="M36" s="8" t="str">
        <f t="shared" si="4"/>
        <v>2</v>
      </c>
      <c r="N36" s="4" t="s">
        <v>635</v>
      </c>
    </row>
    <row r="37" spans="1:22" ht="15" customHeight="1" x14ac:dyDescent="0.25">
      <c r="A37" s="10"/>
      <c r="B37" s="5" t="s">
        <v>0</v>
      </c>
      <c r="C37" s="1" t="s">
        <v>1</v>
      </c>
      <c r="D37" s="2" t="s">
        <v>635</v>
      </c>
      <c r="E37" s="1" t="s">
        <v>490</v>
      </c>
      <c r="F37" s="2" t="s">
        <v>636</v>
      </c>
      <c r="G37" s="1" t="s">
        <v>2</v>
      </c>
      <c r="H37" s="1" t="s">
        <v>3</v>
      </c>
      <c r="I37" t="str">
        <f t="shared" si="5"/>
        <v>1J</v>
      </c>
      <c r="J37" t="str">
        <f t="shared" si="6"/>
        <v>0126½</v>
      </c>
      <c r="K37" t="str">
        <f t="shared" si="7"/>
        <v>0130½</v>
      </c>
      <c r="L37" t="str">
        <f t="shared" si="3"/>
        <v>Plat 4</v>
      </c>
      <c r="M37" s="8" t="str">
        <f t="shared" si="4"/>
        <v>4</v>
      </c>
      <c r="N37" t="s">
        <v>636</v>
      </c>
    </row>
    <row r="38" spans="1:22" ht="15" customHeight="1" x14ac:dyDescent="0.25">
      <c r="A38" s="10"/>
      <c r="B38" s="3" t="s">
        <v>4</v>
      </c>
      <c r="C38" s="1" t="s">
        <v>5</v>
      </c>
      <c r="D38" s="2" t="s">
        <v>635</v>
      </c>
      <c r="E38" s="1" t="s">
        <v>489</v>
      </c>
      <c r="F38" s="2" t="s">
        <v>637</v>
      </c>
      <c r="G38" s="1" t="s">
        <v>6</v>
      </c>
      <c r="H38" s="1" t="s">
        <v>3</v>
      </c>
      <c r="I38" t="str">
        <f t="shared" ref="I38:I57" si="8">LEFT(B38,2)</f>
        <v>1J</v>
      </c>
      <c r="J38" t="str">
        <f t="shared" ref="J38:J100" si="9">LEFT(C38,5)</f>
        <v>0132½</v>
      </c>
      <c r="K38" t="str">
        <f t="shared" ref="K38:K100" si="10">LEFT(G38,5)</f>
        <v>0136½</v>
      </c>
      <c r="L38" t="str">
        <f t="shared" si="3"/>
        <v>Plat 3</v>
      </c>
      <c r="M38" s="8" t="str">
        <f t="shared" si="4"/>
        <v>3</v>
      </c>
      <c r="N38" t="s">
        <v>636</v>
      </c>
      <c r="O38" t="s">
        <v>637</v>
      </c>
    </row>
    <row r="39" spans="1:22" ht="15" customHeight="1" x14ac:dyDescent="0.25">
      <c r="A39" s="10"/>
      <c r="B39" s="3" t="s">
        <v>7</v>
      </c>
      <c r="C39" s="1" t="s">
        <v>8</v>
      </c>
      <c r="D39" s="2" t="s">
        <v>636</v>
      </c>
      <c r="E39" s="1" t="s">
        <v>492</v>
      </c>
      <c r="F39" s="2" t="s">
        <v>635</v>
      </c>
      <c r="G39" s="1" t="s">
        <v>9</v>
      </c>
      <c r="H39" s="1" t="s">
        <v>3</v>
      </c>
      <c r="I39" t="str">
        <f t="shared" si="8"/>
        <v>1L</v>
      </c>
      <c r="J39" t="str">
        <f t="shared" si="9"/>
        <v xml:space="preserve">0134 </v>
      </c>
      <c r="K39" t="str">
        <f t="shared" si="10"/>
        <v xml:space="preserve">0138 </v>
      </c>
      <c r="L39" t="str">
        <f t="shared" si="3"/>
        <v>Plat 1</v>
      </c>
      <c r="M39" s="8" t="str">
        <f t="shared" si="4"/>
        <v>1</v>
      </c>
      <c r="N39" t="s">
        <v>635</v>
      </c>
    </row>
    <row r="40" spans="1:22" ht="15" customHeight="1" x14ac:dyDescent="0.25">
      <c r="A40" s="10"/>
      <c r="B40" s="3" t="s">
        <v>10</v>
      </c>
      <c r="C40" s="1" t="s">
        <v>9</v>
      </c>
      <c r="D40" s="2" t="s">
        <v>635</v>
      </c>
      <c r="E40" s="1" t="s">
        <v>490</v>
      </c>
      <c r="F40" s="2" t="s">
        <v>636</v>
      </c>
      <c r="G40" s="1" t="s">
        <v>11</v>
      </c>
      <c r="H40" s="1" t="s">
        <v>3</v>
      </c>
      <c r="I40" t="str">
        <f t="shared" si="8"/>
        <v>1J</v>
      </c>
      <c r="J40" t="str">
        <f t="shared" si="9"/>
        <v xml:space="preserve">0138 </v>
      </c>
      <c r="K40" t="str">
        <f t="shared" si="10"/>
        <v xml:space="preserve">0142 </v>
      </c>
      <c r="L40" t="str">
        <f t="shared" si="3"/>
        <v>Plat 4</v>
      </c>
      <c r="M40" s="8" t="str">
        <f t="shared" si="4"/>
        <v>4</v>
      </c>
      <c r="N40" t="s">
        <v>636</v>
      </c>
    </row>
    <row r="41" spans="1:22" ht="15" customHeight="1" x14ac:dyDescent="0.25">
      <c r="A41" s="10"/>
      <c r="B41" s="3" t="s">
        <v>12</v>
      </c>
      <c r="C41" s="1" t="s">
        <v>11</v>
      </c>
      <c r="D41" s="2" t="s">
        <v>636</v>
      </c>
      <c r="E41" s="1" t="s">
        <v>491</v>
      </c>
      <c r="F41" s="2" t="s">
        <v>635</v>
      </c>
      <c r="G41" s="1" t="s">
        <v>13</v>
      </c>
      <c r="H41" s="1" t="s">
        <v>3</v>
      </c>
      <c r="I41" t="str">
        <f t="shared" si="8"/>
        <v>1H</v>
      </c>
      <c r="J41" t="str">
        <f t="shared" si="9"/>
        <v xml:space="preserve">0142 </v>
      </c>
      <c r="K41" t="str">
        <f t="shared" si="10"/>
        <v xml:space="preserve">0146 </v>
      </c>
      <c r="L41" t="str">
        <f t="shared" si="3"/>
        <v>Plat 2</v>
      </c>
      <c r="M41" s="8" t="str">
        <f t="shared" si="4"/>
        <v>2</v>
      </c>
      <c r="N41" t="s">
        <v>635</v>
      </c>
    </row>
    <row r="42" spans="1:22" ht="15" customHeight="1" x14ac:dyDescent="0.25">
      <c r="A42" s="10"/>
      <c r="B42" s="3" t="s">
        <v>14</v>
      </c>
      <c r="C42" s="1" t="s">
        <v>15</v>
      </c>
      <c r="D42" s="2" t="s">
        <v>635</v>
      </c>
      <c r="E42" s="1" t="s">
        <v>489</v>
      </c>
      <c r="F42" s="2" t="s">
        <v>637</v>
      </c>
      <c r="G42" s="1" t="s">
        <v>16</v>
      </c>
      <c r="H42" s="1" t="s">
        <v>3</v>
      </c>
      <c r="I42" t="str">
        <f t="shared" si="8"/>
        <v>1J</v>
      </c>
      <c r="J42" t="str">
        <f t="shared" si="9"/>
        <v xml:space="preserve">0144 </v>
      </c>
      <c r="K42" t="str">
        <f t="shared" si="10"/>
        <v xml:space="preserve">0148 </v>
      </c>
      <c r="L42" t="str">
        <f t="shared" si="3"/>
        <v>Plat 3</v>
      </c>
      <c r="M42" s="8" t="str">
        <f t="shared" si="4"/>
        <v>3</v>
      </c>
      <c r="N42" t="s">
        <v>636</v>
      </c>
      <c r="O42" t="s">
        <v>637</v>
      </c>
    </row>
    <row r="43" spans="1:22" ht="15" customHeight="1" x14ac:dyDescent="0.25">
      <c r="A43" s="10"/>
      <c r="B43" s="3" t="s">
        <v>17</v>
      </c>
      <c r="C43" s="1" t="s">
        <v>18</v>
      </c>
      <c r="D43" s="2" t="s">
        <v>635</v>
      </c>
      <c r="E43" s="1" t="s">
        <v>490</v>
      </c>
      <c r="F43" s="2" t="s">
        <v>19</v>
      </c>
      <c r="G43" s="1" t="s">
        <v>20</v>
      </c>
      <c r="H43" s="1" t="s">
        <v>3</v>
      </c>
      <c r="I43" t="str">
        <f t="shared" si="8"/>
        <v>1F</v>
      </c>
      <c r="J43" t="str">
        <f t="shared" si="9"/>
        <v xml:space="preserve">0150 </v>
      </c>
      <c r="K43" t="str">
        <f t="shared" si="10"/>
        <v xml:space="preserve">0154 </v>
      </c>
      <c r="L43" t="str">
        <f t="shared" si="3"/>
        <v>Plat 4</v>
      </c>
      <c r="M43" s="8" t="str">
        <f t="shared" si="4"/>
        <v>4</v>
      </c>
      <c r="N43" t="s">
        <v>636</v>
      </c>
      <c r="O43" t="s">
        <v>1030</v>
      </c>
      <c r="P43" t="s">
        <v>1031</v>
      </c>
      <c r="Q43" t="s">
        <v>1032</v>
      </c>
      <c r="R43" t="s">
        <v>1033</v>
      </c>
      <c r="S43" t="s">
        <v>1034</v>
      </c>
      <c r="T43" t="s">
        <v>19</v>
      </c>
    </row>
    <row r="44" spans="1:22" ht="15" customHeight="1" x14ac:dyDescent="0.25">
      <c r="A44" s="10"/>
      <c r="B44" s="3" t="s">
        <v>21</v>
      </c>
      <c r="C44" s="1" t="s">
        <v>22</v>
      </c>
      <c r="D44" s="2" t="s">
        <v>635</v>
      </c>
      <c r="E44" s="1" t="s">
        <v>489</v>
      </c>
      <c r="F44" s="2" t="s">
        <v>19</v>
      </c>
      <c r="G44" s="1" t="s">
        <v>23</v>
      </c>
      <c r="H44" s="1" t="s">
        <v>3</v>
      </c>
      <c r="I44" t="str">
        <f t="shared" si="8"/>
        <v>1F</v>
      </c>
      <c r="J44" t="str">
        <f t="shared" si="9"/>
        <v>0200½</v>
      </c>
      <c r="K44" t="str">
        <f t="shared" si="10"/>
        <v>0204½</v>
      </c>
      <c r="L44" t="str">
        <f t="shared" si="3"/>
        <v>Plat 3</v>
      </c>
      <c r="M44" s="8" t="str">
        <f t="shared" si="4"/>
        <v>3</v>
      </c>
      <c r="N44" t="s">
        <v>636</v>
      </c>
      <c r="O44" t="s">
        <v>1028</v>
      </c>
      <c r="P44" t="s">
        <v>1029</v>
      </c>
      <c r="Q44" t="s">
        <v>1030</v>
      </c>
      <c r="R44" t="s">
        <v>1031</v>
      </c>
      <c r="S44" t="s">
        <v>1032</v>
      </c>
      <c r="T44" t="s">
        <v>1033</v>
      </c>
      <c r="U44" t="s">
        <v>1034</v>
      </c>
      <c r="V44" t="s">
        <v>19</v>
      </c>
    </row>
    <row r="45" spans="1:22" ht="15" customHeight="1" x14ac:dyDescent="0.25">
      <c r="A45" s="10"/>
      <c r="B45" s="3" t="s">
        <v>24</v>
      </c>
      <c r="C45" s="1" t="s">
        <v>25</v>
      </c>
      <c r="D45" s="2" t="s">
        <v>635</v>
      </c>
      <c r="E45" s="1" t="s">
        <v>491</v>
      </c>
      <c r="F45" s="1" t="s">
        <v>639</v>
      </c>
      <c r="G45" s="1"/>
      <c r="H45" s="1" t="s">
        <v>3</v>
      </c>
      <c r="I45" t="str">
        <f t="shared" si="8"/>
        <v>1N</v>
      </c>
      <c r="J45" t="str">
        <f t="shared" si="9"/>
        <v xml:space="preserve">0208 </v>
      </c>
      <c r="K45" t="str">
        <f t="shared" si="10"/>
        <v/>
      </c>
      <c r="L45" t="str">
        <f t="shared" si="3"/>
        <v>Plat 2</v>
      </c>
      <c r="M45" s="8" t="str">
        <f t="shared" si="4"/>
        <v>2</v>
      </c>
    </row>
    <row r="46" spans="1:22" ht="15" customHeight="1" x14ac:dyDescent="0.25">
      <c r="A46" s="10"/>
      <c r="B46" s="3" t="s">
        <v>26</v>
      </c>
      <c r="C46" s="1"/>
      <c r="D46" s="1" t="s">
        <v>638</v>
      </c>
      <c r="E46" s="1" t="s">
        <v>491</v>
      </c>
      <c r="F46" s="2" t="s">
        <v>635</v>
      </c>
      <c r="G46" s="1" t="s">
        <v>27</v>
      </c>
      <c r="H46" s="1" t="s">
        <v>3</v>
      </c>
      <c r="I46" t="str">
        <f t="shared" si="8"/>
        <v>1N</v>
      </c>
      <c r="J46" t="str">
        <f t="shared" si="9"/>
        <v/>
      </c>
      <c r="K46" t="str">
        <f t="shared" si="10"/>
        <v xml:space="preserve">0216 </v>
      </c>
      <c r="L46" t="str">
        <f t="shared" si="3"/>
        <v>Plat 2</v>
      </c>
      <c r="M46" s="8" t="str">
        <f t="shared" si="4"/>
        <v>2</v>
      </c>
      <c r="N46" t="s">
        <v>635</v>
      </c>
    </row>
    <row r="47" spans="1:22" ht="15" customHeight="1" x14ac:dyDescent="0.25">
      <c r="A47" s="10"/>
      <c r="B47" s="3" t="s">
        <v>28</v>
      </c>
      <c r="C47" s="1" t="s">
        <v>29</v>
      </c>
      <c r="D47" s="2" t="s">
        <v>635</v>
      </c>
      <c r="E47" s="1" t="s">
        <v>491</v>
      </c>
      <c r="F47" s="1" t="s">
        <v>639</v>
      </c>
      <c r="G47" s="1"/>
      <c r="H47" s="1" t="s">
        <v>3</v>
      </c>
      <c r="I47" t="str">
        <f t="shared" si="8"/>
        <v>1N</v>
      </c>
      <c r="J47" t="str">
        <f t="shared" si="9"/>
        <v xml:space="preserve">0238 </v>
      </c>
      <c r="K47" t="str">
        <f t="shared" si="10"/>
        <v/>
      </c>
      <c r="L47" t="str">
        <f t="shared" si="3"/>
        <v>Plat 2</v>
      </c>
      <c r="M47" s="8" t="str">
        <f t="shared" si="4"/>
        <v>2</v>
      </c>
    </row>
    <row r="48" spans="1:22" ht="15" customHeight="1" x14ac:dyDescent="0.25">
      <c r="A48" s="10"/>
      <c r="B48" s="3" t="s">
        <v>30</v>
      </c>
      <c r="C48" s="1"/>
      <c r="D48" s="1" t="s">
        <v>638</v>
      </c>
      <c r="E48" s="1" t="s">
        <v>491</v>
      </c>
      <c r="F48" s="2" t="s">
        <v>635</v>
      </c>
      <c r="G48" s="1" t="s">
        <v>31</v>
      </c>
      <c r="H48" s="1" t="s">
        <v>3</v>
      </c>
      <c r="I48" t="str">
        <f t="shared" si="8"/>
        <v>1N</v>
      </c>
      <c r="J48" t="str">
        <f t="shared" si="9"/>
        <v/>
      </c>
      <c r="K48" t="str">
        <f t="shared" si="10"/>
        <v xml:space="preserve">0246 </v>
      </c>
      <c r="L48" t="str">
        <f t="shared" si="3"/>
        <v>Plat 2</v>
      </c>
      <c r="M48" s="8" t="str">
        <f t="shared" si="4"/>
        <v>2</v>
      </c>
      <c r="N48" t="s">
        <v>635</v>
      </c>
    </row>
    <row r="49" spans="1:15" ht="15" customHeight="1" x14ac:dyDescent="0.25">
      <c r="A49" s="10"/>
      <c r="B49" s="5" t="s">
        <v>32</v>
      </c>
      <c r="C49" s="1" t="s">
        <v>33</v>
      </c>
      <c r="D49" s="2" t="s">
        <v>635</v>
      </c>
      <c r="E49" s="1" t="s">
        <v>491</v>
      </c>
      <c r="F49" s="1" t="s">
        <v>639</v>
      </c>
      <c r="G49" s="1"/>
      <c r="H49" s="1" t="s">
        <v>3</v>
      </c>
      <c r="I49" t="str">
        <f t="shared" si="8"/>
        <v>1N</v>
      </c>
      <c r="J49" t="str">
        <f t="shared" si="9"/>
        <v xml:space="preserve">0308 </v>
      </c>
      <c r="K49" t="str">
        <f t="shared" si="10"/>
        <v/>
      </c>
      <c r="L49" t="str">
        <f t="shared" si="3"/>
        <v>Plat 2</v>
      </c>
      <c r="M49" s="8" t="str">
        <f t="shared" si="4"/>
        <v>2</v>
      </c>
    </row>
    <row r="50" spans="1:15" ht="15" customHeight="1" x14ac:dyDescent="0.25">
      <c r="A50" s="10"/>
      <c r="B50" s="3" t="s">
        <v>34</v>
      </c>
      <c r="C50" s="1"/>
      <c r="D50" s="1" t="s">
        <v>638</v>
      </c>
      <c r="E50" s="1" t="s">
        <v>491</v>
      </c>
      <c r="F50" s="2" t="s">
        <v>635</v>
      </c>
      <c r="G50" s="1" t="s">
        <v>35</v>
      </c>
      <c r="H50" s="1" t="s">
        <v>3</v>
      </c>
      <c r="I50" t="str">
        <f t="shared" si="8"/>
        <v>1N</v>
      </c>
      <c r="J50" t="str">
        <f t="shared" si="9"/>
        <v/>
      </c>
      <c r="K50" t="str">
        <f t="shared" si="10"/>
        <v xml:space="preserve">0316 </v>
      </c>
      <c r="L50" t="str">
        <f t="shared" si="3"/>
        <v>Plat 2</v>
      </c>
      <c r="M50" s="8" t="str">
        <f t="shared" si="4"/>
        <v>2</v>
      </c>
      <c r="N50" t="s">
        <v>635</v>
      </c>
    </row>
    <row r="51" spans="1:15" ht="15" customHeight="1" x14ac:dyDescent="0.25">
      <c r="A51" s="10"/>
      <c r="B51" s="3" t="s">
        <v>36</v>
      </c>
      <c r="C51" s="1" t="s">
        <v>37</v>
      </c>
      <c r="D51" s="2" t="s">
        <v>635</v>
      </c>
      <c r="E51" s="1" t="s">
        <v>491</v>
      </c>
      <c r="F51" s="1" t="s">
        <v>639</v>
      </c>
      <c r="G51" s="1"/>
      <c r="H51" s="1" t="s">
        <v>3</v>
      </c>
      <c r="I51" t="str">
        <f t="shared" si="8"/>
        <v>1N</v>
      </c>
      <c r="J51" t="str">
        <f t="shared" si="9"/>
        <v xml:space="preserve">0338 </v>
      </c>
      <c r="K51" t="str">
        <f t="shared" si="10"/>
        <v/>
      </c>
      <c r="L51" t="str">
        <f t="shared" si="3"/>
        <v>Plat 2</v>
      </c>
      <c r="M51" s="8" t="str">
        <f t="shared" si="4"/>
        <v>2</v>
      </c>
    </row>
    <row r="52" spans="1:15" ht="15" customHeight="1" x14ac:dyDescent="0.25">
      <c r="A52" s="10"/>
      <c r="B52" s="3" t="s">
        <v>38</v>
      </c>
      <c r="C52" s="1"/>
      <c r="D52" s="1" t="s">
        <v>638</v>
      </c>
      <c r="E52" s="1" t="s">
        <v>491</v>
      </c>
      <c r="F52" s="2" t="s">
        <v>635</v>
      </c>
      <c r="G52" s="1" t="s">
        <v>39</v>
      </c>
      <c r="H52" s="1" t="s">
        <v>3</v>
      </c>
      <c r="I52" t="str">
        <f t="shared" si="8"/>
        <v>1N</v>
      </c>
      <c r="J52" t="str">
        <f t="shared" si="9"/>
        <v/>
      </c>
      <c r="K52" t="str">
        <f t="shared" si="10"/>
        <v xml:space="preserve">0346 </v>
      </c>
      <c r="L52" t="str">
        <f t="shared" si="3"/>
        <v>Plat 2</v>
      </c>
      <c r="M52" s="8" t="str">
        <f t="shared" si="4"/>
        <v>2</v>
      </c>
      <c r="N52" t="s">
        <v>635</v>
      </c>
    </row>
    <row r="53" spans="1:15" ht="15" customHeight="1" x14ac:dyDescent="0.25">
      <c r="A53" s="10"/>
      <c r="B53" s="3" t="s">
        <v>40</v>
      </c>
      <c r="C53" s="1" t="s">
        <v>41</v>
      </c>
      <c r="D53" s="2" t="s">
        <v>635</v>
      </c>
      <c r="E53" s="1" t="s">
        <v>491</v>
      </c>
      <c r="F53" s="1" t="s">
        <v>639</v>
      </c>
      <c r="G53" s="1"/>
      <c r="H53" s="1" t="s">
        <v>3</v>
      </c>
      <c r="I53" t="str">
        <f t="shared" si="8"/>
        <v>1N</v>
      </c>
      <c r="J53" t="str">
        <f t="shared" si="9"/>
        <v xml:space="preserve">0408 </v>
      </c>
      <c r="K53" t="str">
        <f t="shared" si="10"/>
        <v/>
      </c>
      <c r="L53" t="str">
        <f t="shared" si="3"/>
        <v>Plat 2</v>
      </c>
      <c r="M53" s="8" t="str">
        <f t="shared" si="4"/>
        <v>2</v>
      </c>
    </row>
    <row r="54" spans="1:15" ht="15" customHeight="1" x14ac:dyDescent="0.25">
      <c r="A54" s="10"/>
      <c r="B54" s="3" t="s">
        <v>42</v>
      </c>
      <c r="C54" s="1"/>
      <c r="D54" s="1" t="s">
        <v>638</v>
      </c>
      <c r="E54" s="1" t="s">
        <v>491</v>
      </c>
      <c r="F54" s="2" t="s">
        <v>635</v>
      </c>
      <c r="G54" s="1" t="s">
        <v>43</v>
      </c>
      <c r="H54" s="1" t="s">
        <v>3</v>
      </c>
      <c r="I54" t="str">
        <f t="shared" si="8"/>
        <v>1N</v>
      </c>
      <c r="J54" t="str">
        <f t="shared" si="9"/>
        <v/>
      </c>
      <c r="K54" t="str">
        <f t="shared" si="10"/>
        <v xml:space="preserve">0416 </v>
      </c>
      <c r="L54" t="str">
        <f t="shared" si="3"/>
        <v>Plat 2</v>
      </c>
      <c r="M54" s="8" t="str">
        <f t="shared" si="4"/>
        <v>2</v>
      </c>
      <c r="N54" t="s">
        <v>635</v>
      </c>
    </row>
    <row r="55" spans="1:15" ht="15" customHeight="1" x14ac:dyDescent="0.25">
      <c r="A55" s="10"/>
      <c r="B55" s="3" t="s">
        <v>44</v>
      </c>
      <c r="C55" s="1" t="s">
        <v>45</v>
      </c>
      <c r="D55" s="2" t="s">
        <v>635</v>
      </c>
      <c r="E55" s="1" t="s">
        <v>491</v>
      </c>
      <c r="F55" s="1" t="s">
        <v>639</v>
      </c>
      <c r="G55" s="1"/>
      <c r="H55" s="1" t="s">
        <v>3</v>
      </c>
      <c r="I55" t="str">
        <f t="shared" si="8"/>
        <v>1N</v>
      </c>
      <c r="J55" t="str">
        <f t="shared" si="9"/>
        <v xml:space="preserve">0438 </v>
      </c>
      <c r="K55" t="str">
        <f t="shared" si="10"/>
        <v/>
      </c>
      <c r="L55" t="str">
        <f t="shared" si="3"/>
        <v>Plat 2</v>
      </c>
      <c r="M55" s="8" t="str">
        <f t="shared" si="4"/>
        <v>2</v>
      </c>
    </row>
    <row r="56" spans="1:15" ht="15" customHeight="1" x14ac:dyDescent="0.25">
      <c r="A56" s="10"/>
      <c r="B56" s="3" t="s">
        <v>46</v>
      </c>
      <c r="C56" s="1"/>
      <c r="D56" s="1" t="s">
        <v>638</v>
      </c>
      <c r="E56" s="1" t="s">
        <v>491</v>
      </c>
      <c r="F56" s="2" t="s">
        <v>635</v>
      </c>
      <c r="G56" s="1" t="s">
        <v>47</v>
      </c>
      <c r="H56" s="1" t="s">
        <v>3</v>
      </c>
      <c r="I56" t="str">
        <f t="shared" si="8"/>
        <v>1N</v>
      </c>
      <c r="J56" t="str">
        <f t="shared" si="9"/>
        <v/>
      </c>
      <c r="K56" t="str">
        <f t="shared" si="10"/>
        <v xml:space="preserve">0446 </v>
      </c>
      <c r="L56" t="str">
        <f t="shared" si="3"/>
        <v>Plat 2</v>
      </c>
      <c r="M56" s="8" t="str">
        <f t="shared" si="4"/>
        <v>2</v>
      </c>
      <c r="N56" t="s">
        <v>635</v>
      </c>
    </row>
    <row r="57" spans="1:15" ht="15" customHeight="1" x14ac:dyDescent="0.25">
      <c r="A57" s="10"/>
      <c r="B57" s="3" t="s">
        <v>48</v>
      </c>
      <c r="C57" s="1" t="s">
        <v>49</v>
      </c>
      <c r="D57" s="2" t="s">
        <v>635</v>
      </c>
      <c r="E57" s="1" t="s">
        <v>491</v>
      </c>
      <c r="F57" s="1" t="s">
        <v>639</v>
      </c>
      <c r="G57" s="1"/>
      <c r="H57" s="1" t="s">
        <v>3</v>
      </c>
      <c r="I57" t="str">
        <f t="shared" si="8"/>
        <v>1N</v>
      </c>
      <c r="J57" t="str">
        <f t="shared" si="9"/>
        <v xml:space="preserve">0508 </v>
      </c>
      <c r="K57" t="str">
        <f t="shared" si="10"/>
        <v/>
      </c>
      <c r="L57" t="str">
        <f t="shared" si="3"/>
        <v>Plat 2</v>
      </c>
      <c r="M57" s="8" t="str">
        <f t="shared" si="4"/>
        <v>2</v>
      </c>
    </row>
    <row r="58" spans="1:15" x14ac:dyDescent="0.25">
      <c r="A58" s="10"/>
      <c r="B58" s="3" t="s">
        <v>50</v>
      </c>
      <c r="C58" s="1"/>
      <c r="D58" s="1" t="s">
        <v>638</v>
      </c>
      <c r="E58" s="1" t="s">
        <v>491</v>
      </c>
      <c r="F58" s="2" t="s">
        <v>635</v>
      </c>
      <c r="G58" s="1" t="s">
        <v>51</v>
      </c>
      <c r="H58" s="1" t="s">
        <v>3</v>
      </c>
      <c r="I58" t="str">
        <f t="shared" ref="I58:I100" si="11">LEFT(B58,2)</f>
        <v>1N</v>
      </c>
      <c r="J58" t="str">
        <f t="shared" si="9"/>
        <v/>
      </c>
      <c r="K58" t="str">
        <f t="shared" si="10"/>
        <v xml:space="preserve">0516 </v>
      </c>
      <c r="L58" t="str">
        <f t="shared" si="3"/>
        <v>Plat 2</v>
      </c>
      <c r="M58" s="8" t="str">
        <f t="shared" si="4"/>
        <v>2</v>
      </c>
      <c r="N58" t="s">
        <v>635</v>
      </c>
    </row>
    <row r="59" spans="1:15" x14ac:dyDescent="0.25">
      <c r="A59" s="10"/>
      <c r="B59" s="3" t="s">
        <v>52</v>
      </c>
      <c r="C59" s="1" t="s">
        <v>53</v>
      </c>
      <c r="D59" s="2" t="s">
        <v>635</v>
      </c>
      <c r="E59" s="1" t="s">
        <v>489</v>
      </c>
      <c r="F59" s="2" t="s">
        <v>637</v>
      </c>
      <c r="G59" s="1" t="s">
        <v>54</v>
      </c>
      <c r="H59" s="1" t="s">
        <v>3</v>
      </c>
      <c r="I59" t="str">
        <f t="shared" si="11"/>
        <v>1J</v>
      </c>
      <c r="J59" t="str">
        <f t="shared" si="9"/>
        <v xml:space="preserve">0538 </v>
      </c>
      <c r="K59" t="str">
        <f t="shared" si="10"/>
        <v xml:space="preserve">0542 </v>
      </c>
      <c r="L59" t="str">
        <f t="shared" si="3"/>
        <v>Plat 3</v>
      </c>
      <c r="M59" s="8" t="str">
        <f t="shared" si="4"/>
        <v>3</v>
      </c>
      <c r="N59" t="s">
        <v>636</v>
      </c>
      <c r="O59" t="s">
        <v>637</v>
      </c>
    </row>
    <row r="60" spans="1:15" x14ac:dyDescent="0.25">
      <c r="A60" s="10"/>
      <c r="B60" s="3" t="s">
        <v>55</v>
      </c>
      <c r="C60" s="1" t="s">
        <v>56</v>
      </c>
      <c r="D60" s="2" t="s">
        <v>637</v>
      </c>
      <c r="E60" s="1" t="s">
        <v>491</v>
      </c>
      <c r="F60" s="2" t="s">
        <v>635</v>
      </c>
      <c r="G60" s="1" t="s">
        <v>57</v>
      </c>
      <c r="H60" s="1" t="s">
        <v>3</v>
      </c>
      <c r="I60" t="str">
        <f t="shared" si="11"/>
        <v>1J</v>
      </c>
      <c r="J60" t="str">
        <f t="shared" si="9"/>
        <v>0543½</v>
      </c>
      <c r="K60" t="str">
        <f t="shared" si="10"/>
        <v>0544½</v>
      </c>
      <c r="L60" t="str">
        <f t="shared" si="3"/>
        <v>Plat 2</v>
      </c>
      <c r="M60" s="8" t="str">
        <f t="shared" si="4"/>
        <v>2</v>
      </c>
      <c r="N60" t="s">
        <v>635</v>
      </c>
    </row>
    <row r="61" spans="1:15" x14ac:dyDescent="0.25">
      <c r="A61" s="10"/>
      <c r="B61" s="5" t="s">
        <v>58</v>
      </c>
      <c r="C61" s="1" t="s">
        <v>59</v>
      </c>
      <c r="D61" s="2" t="s">
        <v>635</v>
      </c>
      <c r="E61" s="1" t="s">
        <v>489</v>
      </c>
      <c r="F61" s="2" t="s">
        <v>636</v>
      </c>
      <c r="G61" s="1" t="s">
        <v>60</v>
      </c>
      <c r="H61" s="1" t="s">
        <v>3</v>
      </c>
      <c r="I61" t="str">
        <f t="shared" si="11"/>
        <v>1L</v>
      </c>
      <c r="J61" t="str">
        <f t="shared" si="9"/>
        <v xml:space="preserve">0610 </v>
      </c>
      <c r="K61" t="str">
        <f t="shared" si="10"/>
        <v xml:space="preserve">0614 </v>
      </c>
      <c r="L61" t="str">
        <f t="shared" si="3"/>
        <v>Plat 3</v>
      </c>
      <c r="M61" s="8" t="str">
        <f t="shared" si="4"/>
        <v>3</v>
      </c>
      <c r="N61" t="s">
        <v>636</v>
      </c>
    </row>
    <row r="62" spans="1:15" x14ac:dyDescent="0.25">
      <c r="B62" s="3" t="s">
        <v>61</v>
      </c>
      <c r="C62" s="1" t="s">
        <v>60</v>
      </c>
      <c r="D62" s="2" t="s">
        <v>62</v>
      </c>
      <c r="E62" s="1" t="s">
        <v>491</v>
      </c>
      <c r="F62" s="2" t="s">
        <v>635</v>
      </c>
      <c r="G62" s="1" t="s">
        <v>63</v>
      </c>
      <c r="H62" s="1" t="s">
        <v>3</v>
      </c>
      <c r="I62" t="str">
        <f t="shared" si="11"/>
        <v>1J</v>
      </c>
      <c r="J62" t="str">
        <f t="shared" si="9"/>
        <v xml:space="preserve">0614 </v>
      </c>
      <c r="K62" t="str">
        <f t="shared" si="10"/>
        <v xml:space="preserve">0617 </v>
      </c>
      <c r="L62" t="str">
        <f t="shared" si="3"/>
        <v>Plat 2</v>
      </c>
      <c r="M62" s="8" t="str">
        <f t="shared" si="4"/>
        <v>2</v>
      </c>
      <c r="N62" t="s">
        <v>635</v>
      </c>
    </row>
    <row r="63" spans="1:15" x14ac:dyDescent="0.25">
      <c r="B63" s="3" t="s">
        <v>64</v>
      </c>
      <c r="C63" s="1" t="s">
        <v>65</v>
      </c>
      <c r="D63" s="2" t="s">
        <v>66</v>
      </c>
      <c r="E63" s="1" t="s">
        <v>491</v>
      </c>
      <c r="F63" s="2" t="s">
        <v>635</v>
      </c>
      <c r="G63" s="1" t="s">
        <v>67</v>
      </c>
      <c r="H63" s="1" t="s">
        <v>3</v>
      </c>
      <c r="I63" t="str">
        <f t="shared" si="11"/>
        <v>1F</v>
      </c>
      <c r="J63" t="str">
        <f t="shared" si="9"/>
        <v xml:space="preserve">0633 </v>
      </c>
      <c r="K63" t="str">
        <f t="shared" si="10"/>
        <v xml:space="preserve">0637 </v>
      </c>
      <c r="L63" t="str">
        <f t="shared" si="3"/>
        <v>Plat 2</v>
      </c>
      <c r="M63" s="8" t="str">
        <f t="shared" si="4"/>
        <v>2</v>
      </c>
      <c r="N63" t="s">
        <v>635</v>
      </c>
    </row>
    <row r="64" spans="1:15" x14ac:dyDescent="0.25">
      <c r="B64" s="3" t="s">
        <v>68</v>
      </c>
      <c r="C64" s="1" t="s">
        <v>69</v>
      </c>
      <c r="D64" s="2" t="s">
        <v>635</v>
      </c>
      <c r="E64" s="1" t="s">
        <v>489</v>
      </c>
      <c r="F64" s="2" t="s">
        <v>636</v>
      </c>
      <c r="G64" s="1" t="s">
        <v>70</v>
      </c>
      <c r="H64" s="1" t="s">
        <v>3</v>
      </c>
      <c r="I64" t="str">
        <f t="shared" si="11"/>
        <v>1H</v>
      </c>
      <c r="J64" t="str">
        <f t="shared" si="9"/>
        <v xml:space="preserve">0638 </v>
      </c>
      <c r="K64" t="str">
        <f t="shared" si="10"/>
        <v xml:space="preserve">0642 </v>
      </c>
      <c r="L64" t="str">
        <f t="shared" si="3"/>
        <v>Plat 3</v>
      </c>
      <c r="M64" s="8" t="str">
        <f t="shared" si="4"/>
        <v>3</v>
      </c>
      <c r="N64" t="s">
        <v>636</v>
      </c>
    </row>
    <row r="65" spans="2:22" x14ac:dyDescent="0.25">
      <c r="B65" s="3" t="s">
        <v>71</v>
      </c>
      <c r="C65" s="1" t="s">
        <v>72</v>
      </c>
      <c r="D65" s="2" t="s">
        <v>637</v>
      </c>
      <c r="E65" s="1" t="s">
        <v>492</v>
      </c>
      <c r="F65" s="2" t="s">
        <v>635</v>
      </c>
      <c r="G65" s="1" t="s">
        <v>73</v>
      </c>
      <c r="H65" s="1" t="s">
        <v>3</v>
      </c>
      <c r="I65" t="str">
        <f t="shared" si="11"/>
        <v>1J</v>
      </c>
      <c r="J65" t="str">
        <f t="shared" si="9"/>
        <v>0644½</v>
      </c>
      <c r="K65" t="str">
        <f t="shared" si="10"/>
        <v>0648½</v>
      </c>
      <c r="L65" t="str">
        <f t="shared" si="3"/>
        <v>Plat 1</v>
      </c>
      <c r="M65" s="8" t="str">
        <f t="shared" si="4"/>
        <v>1</v>
      </c>
      <c r="N65" t="s">
        <v>635</v>
      </c>
    </row>
    <row r="66" spans="2:22" ht="15" customHeight="1" x14ac:dyDescent="0.25">
      <c r="B66" s="3" t="s">
        <v>74</v>
      </c>
      <c r="C66" s="1" t="s">
        <v>75</v>
      </c>
      <c r="D66" s="2" t="s">
        <v>636</v>
      </c>
      <c r="E66" s="1" t="s">
        <v>491</v>
      </c>
      <c r="F66" s="2" t="s">
        <v>635</v>
      </c>
      <c r="G66" s="1" t="s">
        <v>76</v>
      </c>
      <c r="H66" s="1" t="s">
        <v>3</v>
      </c>
      <c r="I66" t="str">
        <f t="shared" si="11"/>
        <v>1L</v>
      </c>
      <c r="J66" t="str">
        <f t="shared" si="9"/>
        <v xml:space="preserve">0651 </v>
      </c>
      <c r="K66" t="str">
        <f t="shared" si="10"/>
        <v xml:space="preserve">0655 </v>
      </c>
      <c r="L66" t="str">
        <f t="shared" si="3"/>
        <v>Plat 2</v>
      </c>
      <c r="M66" s="8" t="str">
        <f t="shared" si="4"/>
        <v>2</v>
      </c>
      <c r="N66" t="s">
        <v>635</v>
      </c>
    </row>
    <row r="67" spans="2:22" x14ac:dyDescent="0.25">
      <c r="B67" s="3" t="s">
        <v>77</v>
      </c>
      <c r="C67" s="1" t="s">
        <v>78</v>
      </c>
      <c r="D67" s="2" t="s">
        <v>19</v>
      </c>
      <c r="E67" s="1" t="s">
        <v>492</v>
      </c>
      <c r="F67" s="2" t="s">
        <v>635</v>
      </c>
      <c r="G67" s="1" t="s">
        <v>79</v>
      </c>
      <c r="H67" s="1" t="s">
        <v>3</v>
      </c>
      <c r="I67" t="str">
        <f t="shared" si="11"/>
        <v>1F</v>
      </c>
      <c r="J67" t="str">
        <f t="shared" si="9"/>
        <v xml:space="preserve">0659 </v>
      </c>
      <c r="K67" t="str">
        <f t="shared" si="10"/>
        <v xml:space="preserve">0700 </v>
      </c>
      <c r="L67" t="str">
        <f t="shared" ref="L67:L130" si="12">LEFT(E67,6)</f>
        <v>Plat 1</v>
      </c>
      <c r="M67" s="8" t="str">
        <f t="shared" ref="M67:M130" si="13">RIGHT(L67,1)</f>
        <v>1</v>
      </c>
      <c r="N67" t="s">
        <v>635</v>
      </c>
    </row>
    <row r="68" spans="2:22" x14ac:dyDescent="0.25">
      <c r="B68" s="3" t="s">
        <v>80</v>
      </c>
      <c r="C68" s="1" t="s">
        <v>78</v>
      </c>
      <c r="D68" s="2" t="s">
        <v>635</v>
      </c>
      <c r="E68" s="1" t="s">
        <v>490</v>
      </c>
      <c r="F68" s="2" t="s">
        <v>636</v>
      </c>
      <c r="G68" s="1" t="s">
        <v>81</v>
      </c>
      <c r="H68" s="1" t="s">
        <v>3</v>
      </c>
      <c r="I68" t="str">
        <f t="shared" si="11"/>
        <v>1H</v>
      </c>
      <c r="J68" t="str">
        <f t="shared" si="9"/>
        <v xml:space="preserve">0659 </v>
      </c>
      <c r="K68" t="str">
        <f t="shared" si="10"/>
        <v xml:space="preserve">0703 </v>
      </c>
      <c r="L68" t="str">
        <f t="shared" si="12"/>
        <v>Plat 4</v>
      </c>
      <c r="M68" s="8" t="str">
        <f t="shared" si="13"/>
        <v>4</v>
      </c>
      <c r="N68" t="s">
        <v>636</v>
      </c>
    </row>
    <row r="69" spans="2:22" x14ac:dyDescent="0.25">
      <c r="B69" s="5" t="s">
        <v>82</v>
      </c>
      <c r="C69" s="1" t="s">
        <v>83</v>
      </c>
      <c r="D69" s="2" t="s">
        <v>84</v>
      </c>
      <c r="E69" s="1" t="s">
        <v>491</v>
      </c>
      <c r="F69" s="2" t="s">
        <v>635</v>
      </c>
      <c r="G69" s="1" t="s">
        <v>85</v>
      </c>
      <c r="H69" s="1" t="s">
        <v>3</v>
      </c>
      <c r="I69" t="str">
        <f t="shared" si="11"/>
        <v>1J</v>
      </c>
      <c r="J69" t="str">
        <f t="shared" si="9"/>
        <v xml:space="preserve">0704 </v>
      </c>
      <c r="K69" t="str">
        <f t="shared" si="10"/>
        <v xml:space="preserve">0708 </v>
      </c>
      <c r="L69" t="str">
        <f t="shared" si="12"/>
        <v>Plat 2</v>
      </c>
      <c r="M69" s="8" t="str">
        <f t="shared" si="13"/>
        <v>2</v>
      </c>
      <c r="N69" t="s">
        <v>635</v>
      </c>
    </row>
    <row r="70" spans="2:22" x14ac:dyDescent="0.25">
      <c r="B70" s="3" t="s">
        <v>86</v>
      </c>
      <c r="C70" s="1" t="s">
        <v>87</v>
      </c>
      <c r="D70" s="2" t="s">
        <v>635</v>
      </c>
      <c r="E70" s="1" t="s">
        <v>489</v>
      </c>
      <c r="F70" s="2" t="s">
        <v>637</v>
      </c>
      <c r="G70" s="1" t="s">
        <v>88</v>
      </c>
      <c r="H70" s="1" t="s">
        <v>3</v>
      </c>
      <c r="I70" t="str">
        <f t="shared" si="11"/>
        <v>1J</v>
      </c>
      <c r="J70" t="str">
        <f t="shared" si="9"/>
        <v xml:space="preserve">0710 </v>
      </c>
      <c r="K70" t="str">
        <f t="shared" si="10"/>
        <v xml:space="preserve">0714 </v>
      </c>
      <c r="L70" t="str">
        <f t="shared" si="12"/>
        <v>Plat 3</v>
      </c>
      <c r="M70" s="8" t="str">
        <f t="shared" si="13"/>
        <v>3</v>
      </c>
      <c r="N70" t="s">
        <v>636</v>
      </c>
      <c r="O70" t="s">
        <v>637</v>
      </c>
    </row>
    <row r="71" spans="2:22" ht="15" customHeight="1" x14ac:dyDescent="0.25">
      <c r="B71" s="3" t="s">
        <v>89</v>
      </c>
      <c r="C71" s="1" t="s">
        <v>90</v>
      </c>
      <c r="D71" s="2" t="s">
        <v>636</v>
      </c>
      <c r="E71" s="1" t="s">
        <v>492</v>
      </c>
      <c r="F71" s="2" t="s">
        <v>635</v>
      </c>
      <c r="G71" s="1" t="s">
        <v>91</v>
      </c>
      <c r="H71" s="1" t="s">
        <v>3</v>
      </c>
      <c r="I71" t="str">
        <f t="shared" si="11"/>
        <v>1H</v>
      </c>
      <c r="J71" t="str">
        <f t="shared" si="9"/>
        <v xml:space="preserve">0712 </v>
      </c>
      <c r="K71" t="str">
        <f t="shared" si="10"/>
        <v xml:space="preserve">0716 </v>
      </c>
      <c r="L71" t="str">
        <f t="shared" si="12"/>
        <v>Plat 1</v>
      </c>
      <c r="M71" s="8" t="str">
        <f t="shared" si="13"/>
        <v>1</v>
      </c>
      <c r="N71" t="s">
        <v>635</v>
      </c>
    </row>
    <row r="72" spans="2:22" x14ac:dyDescent="0.25">
      <c r="B72" s="3" t="s">
        <v>92</v>
      </c>
      <c r="C72" s="1" t="s">
        <v>93</v>
      </c>
      <c r="D72" s="2" t="s">
        <v>635</v>
      </c>
      <c r="E72" s="1" t="s">
        <v>490</v>
      </c>
      <c r="F72" s="2" t="s">
        <v>636</v>
      </c>
      <c r="G72" s="1" t="s">
        <v>94</v>
      </c>
      <c r="H72" s="1" t="s">
        <v>3</v>
      </c>
      <c r="I72" t="str">
        <f t="shared" si="11"/>
        <v>1H</v>
      </c>
      <c r="J72" t="str">
        <f t="shared" si="9"/>
        <v xml:space="preserve">0717 </v>
      </c>
      <c r="K72" t="str">
        <f t="shared" si="10"/>
        <v xml:space="preserve">0721 </v>
      </c>
      <c r="L72" t="str">
        <f t="shared" si="12"/>
        <v>Plat 4</v>
      </c>
      <c r="M72" s="8" t="str">
        <f t="shared" si="13"/>
        <v>4</v>
      </c>
      <c r="N72" t="s">
        <v>636</v>
      </c>
    </row>
    <row r="73" spans="2:22" x14ac:dyDescent="0.25">
      <c r="B73" s="3" t="s">
        <v>95</v>
      </c>
      <c r="C73" s="1" t="s">
        <v>96</v>
      </c>
      <c r="D73" s="2" t="s">
        <v>637</v>
      </c>
      <c r="E73" s="1" t="s">
        <v>491</v>
      </c>
      <c r="F73" s="2" t="s">
        <v>635</v>
      </c>
      <c r="G73" s="1" t="s">
        <v>97</v>
      </c>
      <c r="H73" s="1" t="s">
        <v>3</v>
      </c>
      <c r="I73" t="str">
        <f t="shared" si="11"/>
        <v>1J</v>
      </c>
      <c r="J73" t="str">
        <f t="shared" si="9"/>
        <v xml:space="preserve">0719 </v>
      </c>
      <c r="K73" t="str">
        <f t="shared" si="10"/>
        <v xml:space="preserve">0723 </v>
      </c>
      <c r="L73" t="str">
        <f t="shared" si="12"/>
        <v>Plat 2</v>
      </c>
      <c r="M73" s="8" t="str">
        <f t="shared" si="13"/>
        <v>2</v>
      </c>
      <c r="N73" t="s">
        <v>635</v>
      </c>
    </row>
    <row r="74" spans="2:22" x14ac:dyDescent="0.25">
      <c r="B74" s="3" t="s">
        <v>98</v>
      </c>
      <c r="C74" s="1" t="s">
        <v>99</v>
      </c>
      <c r="D74" s="2" t="s">
        <v>635</v>
      </c>
      <c r="E74" s="1" t="s">
        <v>489</v>
      </c>
      <c r="F74" s="2" t="s">
        <v>19</v>
      </c>
      <c r="G74" s="1" t="s">
        <v>100</v>
      </c>
      <c r="H74" s="1" t="s">
        <v>3</v>
      </c>
      <c r="I74" t="str">
        <f t="shared" si="11"/>
        <v>1F</v>
      </c>
      <c r="J74" t="str">
        <f t="shared" si="9"/>
        <v xml:space="preserve">0724 </v>
      </c>
      <c r="K74" t="str">
        <f t="shared" si="10"/>
        <v xml:space="preserve">0728 </v>
      </c>
      <c r="L74" t="str">
        <f t="shared" si="12"/>
        <v>Plat 3</v>
      </c>
      <c r="M74" s="8" t="str">
        <f t="shared" si="13"/>
        <v>3</v>
      </c>
      <c r="N74" t="s">
        <v>636</v>
      </c>
      <c r="O74" t="s">
        <v>1028</v>
      </c>
      <c r="P74" t="s">
        <v>1029</v>
      </c>
      <c r="Q74" t="s">
        <v>1030</v>
      </c>
      <c r="R74" t="s">
        <v>1031</v>
      </c>
      <c r="S74" t="s">
        <v>1032</v>
      </c>
      <c r="T74" t="s">
        <v>1033</v>
      </c>
      <c r="U74" t="s">
        <v>1034</v>
      </c>
      <c r="V74" t="s">
        <v>19</v>
      </c>
    </row>
    <row r="75" spans="2:22" x14ac:dyDescent="0.25">
      <c r="B75" s="3" t="s">
        <v>101</v>
      </c>
      <c r="C75" s="1" t="s">
        <v>102</v>
      </c>
      <c r="D75" s="2" t="s">
        <v>66</v>
      </c>
      <c r="E75" s="1" t="s">
        <v>492</v>
      </c>
      <c r="F75" s="2" t="s">
        <v>635</v>
      </c>
      <c r="G75" s="1" t="s">
        <v>103</v>
      </c>
      <c r="H75" s="1" t="s">
        <v>3</v>
      </c>
      <c r="I75" t="str">
        <f t="shared" si="11"/>
        <v>1F</v>
      </c>
      <c r="J75" t="str">
        <f t="shared" si="9"/>
        <v xml:space="preserve">0729 </v>
      </c>
      <c r="K75" t="str">
        <f t="shared" si="10"/>
        <v xml:space="preserve">0731 </v>
      </c>
      <c r="L75" t="str">
        <f t="shared" si="12"/>
        <v>Plat 1</v>
      </c>
      <c r="M75" s="8" t="str">
        <f t="shared" si="13"/>
        <v>1</v>
      </c>
      <c r="N75" t="s">
        <v>635</v>
      </c>
    </row>
    <row r="76" spans="2:22" x14ac:dyDescent="0.25">
      <c r="B76" s="3" t="s">
        <v>104</v>
      </c>
      <c r="C76" s="1" t="s">
        <v>103</v>
      </c>
      <c r="D76" s="2" t="s">
        <v>635</v>
      </c>
      <c r="E76" s="1" t="s">
        <v>490</v>
      </c>
      <c r="F76" s="2" t="s">
        <v>636</v>
      </c>
      <c r="G76" s="1" t="s">
        <v>105</v>
      </c>
      <c r="H76" s="1" t="s">
        <v>3</v>
      </c>
      <c r="I76" t="str">
        <f t="shared" si="11"/>
        <v>1L</v>
      </c>
      <c r="J76" t="str">
        <f t="shared" si="9"/>
        <v xml:space="preserve">0731 </v>
      </c>
      <c r="K76" t="str">
        <f t="shared" si="10"/>
        <v xml:space="preserve">0735 </v>
      </c>
      <c r="L76" t="str">
        <f t="shared" si="12"/>
        <v>Plat 4</v>
      </c>
      <c r="M76" s="8" t="str">
        <f t="shared" si="13"/>
        <v>4</v>
      </c>
      <c r="N76" t="s">
        <v>636</v>
      </c>
    </row>
    <row r="77" spans="2:22" ht="15" customHeight="1" x14ac:dyDescent="0.25">
      <c r="B77" s="3" t="s">
        <v>106</v>
      </c>
      <c r="C77" s="1" t="s">
        <v>105</v>
      </c>
      <c r="D77" s="2" t="s">
        <v>636</v>
      </c>
      <c r="E77" s="1" t="s">
        <v>491</v>
      </c>
      <c r="F77" s="2" t="s">
        <v>635</v>
      </c>
      <c r="G77" s="1" t="s">
        <v>107</v>
      </c>
      <c r="H77" s="1" t="s">
        <v>3</v>
      </c>
      <c r="I77" t="str">
        <f t="shared" si="11"/>
        <v>1H</v>
      </c>
      <c r="J77" t="str">
        <f t="shared" si="9"/>
        <v xml:space="preserve">0735 </v>
      </c>
      <c r="K77" t="str">
        <f t="shared" si="10"/>
        <v xml:space="preserve">0737 </v>
      </c>
      <c r="L77" t="str">
        <f t="shared" si="12"/>
        <v>Plat 2</v>
      </c>
      <c r="M77" s="8" t="str">
        <f t="shared" si="13"/>
        <v>2</v>
      </c>
      <c r="N77" t="s">
        <v>635</v>
      </c>
    </row>
    <row r="78" spans="2:22" x14ac:dyDescent="0.25">
      <c r="B78" s="3" t="s">
        <v>108</v>
      </c>
      <c r="C78" s="1" t="s">
        <v>109</v>
      </c>
      <c r="D78" s="2" t="s">
        <v>635</v>
      </c>
      <c r="E78" s="1" t="s">
        <v>489</v>
      </c>
      <c r="F78" s="2" t="s">
        <v>636</v>
      </c>
      <c r="G78" s="1" t="s">
        <v>110</v>
      </c>
      <c r="H78" s="1" t="s">
        <v>3</v>
      </c>
      <c r="I78" t="str">
        <f t="shared" si="11"/>
        <v>1F</v>
      </c>
      <c r="J78" t="str">
        <f t="shared" si="9"/>
        <v xml:space="preserve">0738 </v>
      </c>
      <c r="K78" t="str">
        <f t="shared" si="10"/>
        <v xml:space="preserve">0742 </v>
      </c>
      <c r="L78" t="str">
        <f t="shared" si="12"/>
        <v>Plat 3</v>
      </c>
      <c r="M78" s="8" t="str">
        <f t="shared" si="13"/>
        <v>3</v>
      </c>
      <c r="N78" t="s">
        <v>636</v>
      </c>
    </row>
    <row r="79" spans="2:22" x14ac:dyDescent="0.25">
      <c r="B79" s="3" t="s">
        <v>111</v>
      </c>
      <c r="C79" s="1" t="s">
        <v>112</v>
      </c>
      <c r="D79" s="2" t="s">
        <v>637</v>
      </c>
      <c r="E79" s="1" t="s">
        <v>492</v>
      </c>
      <c r="F79" s="2" t="s">
        <v>635</v>
      </c>
      <c r="G79" s="1" t="s">
        <v>113</v>
      </c>
      <c r="H79" s="1" t="s">
        <v>3</v>
      </c>
      <c r="I79" t="str">
        <f t="shared" si="11"/>
        <v>1J</v>
      </c>
      <c r="J79" t="str">
        <f t="shared" si="9"/>
        <v>0744½</v>
      </c>
      <c r="K79" t="str">
        <f t="shared" si="10"/>
        <v>0748½</v>
      </c>
      <c r="L79" t="str">
        <f t="shared" si="12"/>
        <v>Plat 1</v>
      </c>
      <c r="M79" s="8" t="str">
        <f t="shared" si="13"/>
        <v>1</v>
      </c>
      <c r="N79" t="s">
        <v>635</v>
      </c>
    </row>
    <row r="80" spans="2:22" x14ac:dyDescent="0.25">
      <c r="B80" s="3" t="s">
        <v>114</v>
      </c>
      <c r="C80" s="1" t="s">
        <v>115</v>
      </c>
      <c r="D80" s="2" t="s">
        <v>635</v>
      </c>
      <c r="E80" s="1" t="s">
        <v>490</v>
      </c>
      <c r="F80" s="2" t="s">
        <v>637</v>
      </c>
      <c r="G80" s="1" t="s">
        <v>116</v>
      </c>
      <c r="H80" s="1" t="s">
        <v>3</v>
      </c>
      <c r="I80" t="str">
        <f t="shared" si="11"/>
        <v>1J</v>
      </c>
      <c r="J80" t="str">
        <f t="shared" si="9"/>
        <v xml:space="preserve">0745 </v>
      </c>
      <c r="K80" t="str">
        <f t="shared" si="10"/>
        <v xml:space="preserve">0749 </v>
      </c>
      <c r="L80" t="str">
        <f t="shared" si="12"/>
        <v>Plat 4</v>
      </c>
      <c r="M80" s="8" t="str">
        <f t="shared" si="13"/>
        <v>4</v>
      </c>
      <c r="N80" t="s">
        <v>636</v>
      </c>
      <c r="O80" t="s">
        <v>637</v>
      </c>
    </row>
    <row r="81" spans="2:22" ht="15" customHeight="1" x14ac:dyDescent="0.25">
      <c r="B81" s="3" t="s">
        <v>117</v>
      </c>
      <c r="C81" s="1" t="s">
        <v>118</v>
      </c>
      <c r="D81" s="2" t="s">
        <v>636</v>
      </c>
      <c r="E81" s="1" t="s">
        <v>491</v>
      </c>
      <c r="F81" s="2" t="s">
        <v>635</v>
      </c>
      <c r="G81" s="1" t="s">
        <v>119</v>
      </c>
      <c r="H81" s="1" t="s">
        <v>3</v>
      </c>
      <c r="I81" t="str">
        <f t="shared" si="11"/>
        <v>1H</v>
      </c>
      <c r="J81" t="str">
        <f t="shared" si="9"/>
        <v xml:space="preserve">0751 </v>
      </c>
      <c r="K81" t="str">
        <f t="shared" si="10"/>
        <v xml:space="preserve">0755 </v>
      </c>
      <c r="L81" t="str">
        <f t="shared" si="12"/>
        <v>Plat 2</v>
      </c>
      <c r="M81" s="8" t="str">
        <f t="shared" si="13"/>
        <v>2</v>
      </c>
      <c r="N81" t="s">
        <v>635</v>
      </c>
    </row>
    <row r="82" spans="2:22" x14ac:dyDescent="0.25">
      <c r="B82" s="3" t="s">
        <v>120</v>
      </c>
      <c r="C82" s="1" t="s">
        <v>121</v>
      </c>
      <c r="D82" s="2" t="s">
        <v>635</v>
      </c>
      <c r="E82" s="1" t="s">
        <v>489</v>
      </c>
      <c r="F82" s="2" t="s">
        <v>636</v>
      </c>
      <c r="G82" s="1" t="s">
        <v>122</v>
      </c>
      <c r="H82" s="1" t="s">
        <v>3</v>
      </c>
      <c r="I82" t="str">
        <f t="shared" si="11"/>
        <v>1L</v>
      </c>
      <c r="J82" t="str">
        <f t="shared" si="9"/>
        <v xml:space="preserve">0752 </v>
      </c>
      <c r="K82" t="str">
        <f t="shared" si="10"/>
        <v xml:space="preserve">0756 </v>
      </c>
      <c r="L82" t="str">
        <f t="shared" si="12"/>
        <v>Plat 3</v>
      </c>
      <c r="M82" s="8" t="str">
        <f t="shared" si="13"/>
        <v>3</v>
      </c>
      <c r="N82" t="s">
        <v>636</v>
      </c>
    </row>
    <row r="83" spans="2:22" x14ac:dyDescent="0.25">
      <c r="B83" s="3" t="s">
        <v>123</v>
      </c>
      <c r="C83" s="1" t="s">
        <v>124</v>
      </c>
      <c r="D83" s="2" t="s">
        <v>66</v>
      </c>
      <c r="E83" s="1" t="s">
        <v>492</v>
      </c>
      <c r="F83" s="2" t="s">
        <v>635</v>
      </c>
      <c r="G83" s="1" t="s">
        <v>125</v>
      </c>
      <c r="H83" s="1" t="s">
        <v>3</v>
      </c>
      <c r="I83" t="str">
        <f t="shared" si="11"/>
        <v>1F</v>
      </c>
      <c r="J83" t="str">
        <f t="shared" si="9"/>
        <v xml:space="preserve">0759 </v>
      </c>
      <c r="K83" t="str">
        <f t="shared" si="10"/>
        <v xml:space="preserve">0803 </v>
      </c>
      <c r="L83" t="str">
        <f t="shared" si="12"/>
        <v>Plat 1</v>
      </c>
      <c r="M83" s="8" t="str">
        <f t="shared" si="13"/>
        <v>1</v>
      </c>
      <c r="N83" t="s">
        <v>635</v>
      </c>
    </row>
    <row r="84" spans="2:22" x14ac:dyDescent="0.25">
      <c r="B84" s="3" t="s">
        <v>126</v>
      </c>
      <c r="C84" s="1" t="s">
        <v>124</v>
      </c>
      <c r="D84" s="2" t="s">
        <v>635</v>
      </c>
      <c r="E84" s="1" t="s">
        <v>490</v>
      </c>
      <c r="F84" s="2" t="s">
        <v>636</v>
      </c>
      <c r="G84" s="1" t="s">
        <v>125</v>
      </c>
      <c r="H84" s="1" t="s">
        <v>3</v>
      </c>
      <c r="I84" t="str">
        <f t="shared" si="11"/>
        <v>1H</v>
      </c>
      <c r="J84" t="str">
        <f t="shared" si="9"/>
        <v xml:space="preserve">0759 </v>
      </c>
      <c r="K84" t="str">
        <f t="shared" si="10"/>
        <v xml:space="preserve">0803 </v>
      </c>
      <c r="L84" t="str">
        <f t="shared" si="12"/>
        <v>Plat 4</v>
      </c>
      <c r="M84" s="8" t="str">
        <f t="shared" si="13"/>
        <v>4</v>
      </c>
      <c r="N84" t="s">
        <v>636</v>
      </c>
    </row>
    <row r="85" spans="2:22" ht="15" customHeight="1" x14ac:dyDescent="0.25">
      <c r="B85" s="3" t="s">
        <v>127</v>
      </c>
      <c r="C85" s="1" t="s">
        <v>128</v>
      </c>
      <c r="D85" s="2" t="s">
        <v>636</v>
      </c>
      <c r="E85" s="1" t="s">
        <v>491</v>
      </c>
      <c r="F85" s="2" t="s">
        <v>635</v>
      </c>
      <c r="G85" s="1" t="s">
        <v>129</v>
      </c>
      <c r="H85" s="1" t="s">
        <v>3</v>
      </c>
      <c r="I85" t="str">
        <f t="shared" si="11"/>
        <v>1L</v>
      </c>
      <c r="J85" t="str">
        <f t="shared" si="9"/>
        <v xml:space="preserve">0805 </v>
      </c>
      <c r="K85" t="str">
        <f t="shared" si="10"/>
        <v xml:space="preserve">0809 </v>
      </c>
      <c r="L85" t="str">
        <f t="shared" si="12"/>
        <v>Plat 2</v>
      </c>
      <c r="M85" s="8" t="str">
        <f t="shared" si="13"/>
        <v>2</v>
      </c>
      <c r="N85" t="s">
        <v>635</v>
      </c>
    </row>
    <row r="86" spans="2:22" x14ac:dyDescent="0.25">
      <c r="B86" s="3" t="s">
        <v>130</v>
      </c>
      <c r="C86" s="1" t="s">
        <v>131</v>
      </c>
      <c r="D86" s="2" t="s">
        <v>635</v>
      </c>
      <c r="E86" s="1" t="s">
        <v>489</v>
      </c>
      <c r="F86" s="2" t="s">
        <v>637</v>
      </c>
      <c r="G86" s="1" t="s">
        <v>132</v>
      </c>
      <c r="H86" s="1" t="s">
        <v>3</v>
      </c>
      <c r="I86" t="str">
        <f t="shared" si="11"/>
        <v>1J</v>
      </c>
      <c r="J86" t="str">
        <f t="shared" si="9"/>
        <v xml:space="preserve">0810 </v>
      </c>
      <c r="K86" t="str">
        <f t="shared" si="10"/>
        <v xml:space="preserve">0814 </v>
      </c>
      <c r="L86" t="str">
        <f t="shared" si="12"/>
        <v>Plat 3</v>
      </c>
      <c r="M86" s="8" t="str">
        <f t="shared" si="13"/>
        <v>3</v>
      </c>
      <c r="N86" t="s">
        <v>636</v>
      </c>
      <c r="O86" t="s">
        <v>637</v>
      </c>
    </row>
    <row r="87" spans="2:22" ht="15" customHeight="1" x14ac:dyDescent="0.25">
      <c r="B87" s="3" t="s">
        <v>133</v>
      </c>
      <c r="C87" s="1" t="s">
        <v>134</v>
      </c>
      <c r="D87" s="2" t="s">
        <v>636</v>
      </c>
      <c r="E87" s="1" t="s">
        <v>492</v>
      </c>
      <c r="F87" s="2" t="s">
        <v>635</v>
      </c>
      <c r="G87" s="1" t="s">
        <v>135</v>
      </c>
      <c r="H87" s="1" t="s">
        <v>3</v>
      </c>
      <c r="I87" t="str">
        <f t="shared" si="11"/>
        <v>1H</v>
      </c>
      <c r="J87" t="str">
        <f t="shared" si="9"/>
        <v xml:space="preserve">0812 </v>
      </c>
      <c r="K87" t="str">
        <f t="shared" si="10"/>
        <v xml:space="preserve">0816 </v>
      </c>
      <c r="L87" t="str">
        <f t="shared" si="12"/>
        <v>Plat 1</v>
      </c>
      <c r="M87" s="8" t="str">
        <f t="shared" si="13"/>
        <v>1</v>
      </c>
      <c r="N87" t="s">
        <v>635</v>
      </c>
    </row>
    <row r="88" spans="2:22" x14ac:dyDescent="0.25">
      <c r="B88" s="3" t="s">
        <v>136</v>
      </c>
      <c r="C88" s="1" t="s">
        <v>137</v>
      </c>
      <c r="D88" s="2" t="s">
        <v>635</v>
      </c>
      <c r="E88" s="1" t="s">
        <v>490</v>
      </c>
      <c r="F88" s="2" t="s">
        <v>636</v>
      </c>
      <c r="G88" s="1" t="s">
        <v>138</v>
      </c>
      <c r="H88" s="1" t="s">
        <v>3</v>
      </c>
      <c r="I88" t="str">
        <f t="shared" si="11"/>
        <v>1H</v>
      </c>
      <c r="J88" t="str">
        <f t="shared" si="9"/>
        <v xml:space="preserve">0817 </v>
      </c>
      <c r="K88" t="str">
        <f t="shared" si="10"/>
        <v xml:space="preserve">0821 </v>
      </c>
      <c r="L88" t="str">
        <f t="shared" si="12"/>
        <v>Plat 4</v>
      </c>
      <c r="M88" s="8" t="str">
        <f t="shared" si="13"/>
        <v>4</v>
      </c>
      <c r="N88" t="s">
        <v>636</v>
      </c>
    </row>
    <row r="89" spans="2:22" x14ac:dyDescent="0.25">
      <c r="B89" s="3" t="s">
        <v>139</v>
      </c>
      <c r="C89" s="1" t="s">
        <v>140</v>
      </c>
      <c r="D89" s="2" t="s">
        <v>637</v>
      </c>
      <c r="E89" s="1" t="s">
        <v>491</v>
      </c>
      <c r="F89" s="2" t="s">
        <v>635</v>
      </c>
      <c r="G89" s="1" t="s">
        <v>141</v>
      </c>
      <c r="H89" s="1" t="s">
        <v>3</v>
      </c>
      <c r="I89" t="str">
        <f t="shared" si="11"/>
        <v>1J</v>
      </c>
      <c r="J89" t="str">
        <f t="shared" si="9"/>
        <v xml:space="preserve">0819 </v>
      </c>
      <c r="K89" t="str">
        <f t="shared" si="10"/>
        <v xml:space="preserve">0823 </v>
      </c>
      <c r="L89" t="str">
        <f t="shared" si="12"/>
        <v>Plat 2</v>
      </c>
      <c r="M89" s="8" t="str">
        <f t="shared" si="13"/>
        <v>2</v>
      </c>
      <c r="N89" t="s">
        <v>635</v>
      </c>
    </row>
    <row r="90" spans="2:22" x14ac:dyDescent="0.25">
      <c r="B90" s="3" t="s">
        <v>142</v>
      </c>
      <c r="C90" s="1" t="s">
        <v>143</v>
      </c>
      <c r="D90" s="2" t="s">
        <v>635</v>
      </c>
      <c r="E90" s="1" t="s">
        <v>489</v>
      </c>
      <c r="F90" s="2" t="s">
        <v>19</v>
      </c>
      <c r="G90" s="1" t="s">
        <v>144</v>
      </c>
      <c r="H90" s="1" t="s">
        <v>3</v>
      </c>
      <c r="I90" t="str">
        <f t="shared" si="11"/>
        <v>1F</v>
      </c>
      <c r="J90" t="str">
        <f t="shared" si="9"/>
        <v xml:space="preserve">0824 </v>
      </c>
      <c r="K90" t="str">
        <f t="shared" si="10"/>
        <v xml:space="preserve">0828 </v>
      </c>
      <c r="L90" t="str">
        <f t="shared" si="12"/>
        <v>Plat 3</v>
      </c>
      <c r="M90" s="8" t="str">
        <f t="shared" si="13"/>
        <v>3</v>
      </c>
      <c r="N90" t="s">
        <v>636</v>
      </c>
      <c r="O90" t="s">
        <v>1028</v>
      </c>
      <c r="P90" t="s">
        <v>1029</v>
      </c>
      <c r="Q90" t="s">
        <v>1030</v>
      </c>
      <c r="R90" t="s">
        <v>1031</v>
      </c>
      <c r="S90" t="s">
        <v>1032</v>
      </c>
      <c r="T90" t="s">
        <v>1033</v>
      </c>
      <c r="U90" t="s">
        <v>1034</v>
      </c>
      <c r="V90" t="s">
        <v>19</v>
      </c>
    </row>
    <row r="91" spans="2:22" ht="15" customHeight="1" x14ac:dyDescent="0.25">
      <c r="B91" s="3" t="s">
        <v>145</v>
      </c>
      <c r="C91" s="1" t="s">
        <v>146</v>
      </c>
      <c r="D91" s="2" t="s">
        <v>636</v>
      </c>
      <c r="E91" s="1" t="s">
        <v>492</v>
      </c>
      <c r="F91" s="2" t="s">
        <v>635</v>
      </c>
      <c r="G91" s="1" t="s">
        <v>147</v>
      </c>
      <c r="H91" s="1" t="s">
        <v>3</v>
      </c>
      <c r="I91" t="str">
        <f t="shared" si="11"/>
        <v>1L</v>
      </c>
      <c r="J91" t="str">
        <f t="shared" si="9"/>
        <v xml:space="preserve">0826 </v>
      </c>
      <c r="K91" t="str">
        <f t="shared" si="10"/>
        <v xml:space="preserve">0830 </v>
      </c>
      <c r="L91" t="str">
        <f t="shared" si="12"/>
        <v>Plat 1</v>
      </c>
      <c r="M91" s="8" t="str">
        <f t="shared" si="13"/>
        <v>1</v>
      </c>
      <c r="N91" t="s">
        <v>635</v>
      </c>
    </row>
    <row r="92" spans="2:22" x14ac:dyDescent="0.25">
      <c r="B92" s="3" t="s">
        <v>148</v>
      </c>
      <c r="C92" s="1" t="s">
        <v>149</v>
      </c>
      <c r="D92" s="2" t="s">
        <v>635</v>
      </c>
      <c r="E92" s="1" t="s">
        <v>490</v>
      </c>
      <c r="F92" s="2" t="s">
        <v>636</v>
      </c>
      <c r="G92" s="1" t="s">
        <v>150</v>
      </c>
      <c r="H92" s="1" t="s">
        <v>3</v>
      </c>
      <c r="I92" t="str">
        <f t="shared" si="11"/>
        <v>1L</v>
      </c>
      <c r="J92" t="str">
        <f t="shared" si="9"/>
        <v xml:space="preserve">0831 </v>
      </c>
      <c r="K92" t="str">
        <f t="shared" si="10"/>
        <v xml:space="preserve">0835 </v>
      </c>
      <c r="L92" t="str">
        <f t="shared" si="12"/>
        <v>Plat 4</v>
      </c>
      <c r="M92" s="8" t="str">
        <f t="shared" si="13"/>
        <v>4</v>
      </c>
      <c r="N92" t="s">
        <v>636</v>
      </c>
    </row>
    <row r="93" spans="2:22" ht="15" customHeight="1" x14ac:dyDescent="0.25">
      <c r="B93" s="3" t="s">
        <v>151</v>
      </c>
      <c r="C93" s="1" t="s">
        <v>152</v>
      </c>
      <c r="D93" s="2" t="s">
        <v>636</v>
      </c>
      <c r="E93" s="1" t="s">
        <v>491</v>
      </c>
      <c r="F93" s="2" t="s">
        <v>635</v>
      </c>
      <c r="G93" s="1" t="s">
        <v>153</v>
      </c>
      <c r="H93" s="1" t="s">
        <v>3</v>
      </c>
      <c r="I93" t="str">
        <f t="shared" si="11"/>
        <v>1F</v>
      </c>
      <c r="J93" t="str">
        <f t="shared" si="9"/>
        <v xml:space="preserve">0833 </v>
      </c>
      <c r="K93" t="str">
        <f t="shared" si="10"/>
        <v xml:space="preserve">0837 </v>
      </c>
      <c r="L93" t="str">
        <f t="shared" si="12"/>
        <v>Plat 2</v>
      </c>
      <c r="M93" s="8" t="str">
        <f t="shared" si="13"/>
        <v>2</v>
      </c>
      <c r="N93" t="s">
        <v>635</v>
      </c>
    </row>
    <row r="94" spans="2:22" x14ac:dyDescent="0.25">
      <c r="B94" s="3" t="s">
        <v>154</v>
      </c>
      <c r="C94" s="1" t="s">
        <v>155</v>
      </c>
      <c r="D94" s="2" t="s">
        <v>635</v>
      </c>
      <c r="E94" s="1" t="s">
        <v>489</v>
      </c>
      <c r="F94" s="2" t="s">
        <v>636</v>
      </c>
      <c r="G94" s="1" t="s">
        <v>156</v>
      </c>
      <c r="H94" s="1" t="s">
        <v>3</v>
      </c>
      <c r="I94" t="str">
        <f t="shared" si="11"/>
        <v>1F</v>
      </c>
      <c r="J94" t="str">
        <f t="shared" si="9"/>
        <v xml:space="preserve">0838 </v>
      </c>
      <c r="K94" t="str">
        <f t="shared" si="10"/>
        <v xml:space="preserve">0842 </v>
      </c>
      <c r="L94" t="str">
        <f t="shared" si="12"/>
        <v>Plat 3</v>
      </c>
      <c r="M94" s="8" t="str">
        <f t="shared" si="13"/>
        <v>3</v>
      </c>
      <c r="N94" t="s">
        <v>636</v>
      </c>
    </row>
    <row r="95" spans="2:22" x14ac:dyDescent="0.25">
      <c r="B95" s="3" t="s">
        <v>157</v>
      </c>
      <c r="C95" s="1" t="s">
        <v>158</v>
      </c>
      <c r="D95" s="2" t="s">
        <v>637</v>
      </c>
      <c r="E95" s="1" t="s">
        <v>492</v>
      </c>
      <c r="F95" s="2" t="s">
        <v>635</v>
      </c>
      <c r="G95" s="1" t="s">
        <v>159</v>
      </c>
      <c r="H95" s="1" t="s">
        <v>3</v>
      </c>
      <c r="I95" t="str">
        <f t="shared" si="11"/>
        <v>1J</v>
      </c>
      <c r="J95" t="str">
        <f t="shared" si="9"/>
        <v>0844½</v>
      </c>
      <c r="K95" t="str">
        <f t="shared" si="10"/>
        <v>0848½</v>
      </c>
      <c r="L95" t="str">
        <f t="shared" si="12"/>
        <v>Plat 1</v>
      </c>
      <c r="M95" s="8" t="str">
        <f t="shared" si="13"/>
        <v>1</v>
      </c>
      <c r="N95" t="s">
        <v>635</v>
      </c>
    </row>
    <row r="96" spans="2:22" x14ac:dyDescent="0.25">
      <c r="B96" s="3" t="s">
        <v>160</v>
      </c>
      <c r="C96" s="1" t="s">
        <v>161</v>
      </c>
      <c r="D96" s="2" t="s">
        <v>635</v>
      </c>
      <c r="E96" s="1" t="s">
        <v>490</v>
      </c>
      <c r="F96" s="2" t="s">
        <v>637</v>
      </c>
      <c r="G96" s="1" t="s">
        <v>162</v>
      </c>
      <c r="H96" s="1" t="s">
        <v>3</v>
      </c>
      <c r="I96" t="str">
        <f t="shared" si="11"/>
        <v>1J</v>
      </c>
      <c r="J96" t="str">
        <f t="shared" si="9"/>
        <v xml:space="preserve">0845 </v>
      </c>
      <c r="K96" t="str">
        <f t="shared" si="10"/>
        <v xml:space="preserve">0849 </v>
      </c>
      <c r="L96" t="str">
        <f t="shared" si="12"/>
        <v>Plat 4</v>
      </c>
      <c r="M96" s="8" t="str">
        <f t="shared" si="13"/>
        <v>4</v>
      </c>
      <c r="N96" t="s">
        <v>636</v>
      </c>
      <c r="O96" t="s">
        <v>637</v>
      </c>
    </row>
    <row r="97" spans="2:22" ht="15" customHeight="1" x14ac:dyDescent="0.25">
      <c r="B97" s="3" t="s">
        <v>163</v>
      </c>
      <c r="C97" s="1" t="s">
        <v>164</v>
      </c>
      <c r="D97" s="2" t="s">
        <v>636</v>
      </c>
      <c r="E97" s="1" t="s">
        <v>491</v>
      </c>
      <c r="F97" s="2" t="s">
        <v>635</v>
      </c>
      <c r="G97" s="1" t="s">
        <v>165</v>
      </c>
      <c r="H97" s="1" t="s">
        <v>3</v>
      </c>
      <c r="I97" t="str">
        <f t="shared" si="11"/>
        <v>1H</v>
      </c>
      <c r="J97" t="str">
        <f t="shared" si="9"/>
        <v xml:space="preserve">0851 </v>
      </c>
      <c r="K97" t="str">
        <f t="shared" si="10"/>
        <v xml:space="preserve">0855 </v>
      </c>
      <c r="L97" t="str">
        <f t="shared" si="12"/>
        <v>Plat 2</v>
      </c>
      <c r="M97" s="8" t="str">
        <f t="shared" si="13"/>
        <v>2</v>
      </c>
      <c r="N97" t="s">
        <v>635</v>
      </c>
    </row>
    <row r="98" spans="2:22" x14ac:dyDescent="0.25">
      <c r="B98" s="3" t="s">
        <v>166</v>
      </c>
      <c r="C98" s="1" t="s">
        <v>167</v>
      </c>
      <c r="D98" s="2" t="s">
        <v>635</v>
      </c>
      <c r="E98" s="1" t="s">
        <v>489</v>
      </c>
      <c r="F98" s="2" t="s">
        <v>636</v>
      </c>
      <c r="G98" s="1" t="s">
        <v>168</v>
      </c>
      <c r="H98" s="1" t="s">
        <v>3</v>
      </c>
      <c r="I98" t="str">
        <f t="shared" si="11"/>
        <v>1L</v>
      </c>
      <c r="J98" t="str">
        <f t="shared" si="9"/>
        <v xml:space="preserve">0852 </v>
      </c>
      <c r="K98" t="str">
        <f t="shared" si="10"/>
        <v xml:space="preserve">0856 </v>
      </c>
      <c r="L98" t="str">
        <f t="shared" si="12"/>
        <v>Plat 3</v>
      </c>
      <c r="M98" s="8" t="str">
        <f t="shared" si="13"/>
        <v>3</v>
      </c>
      <c r="N98" t="s">
        <v>636</v>
      </c>
    </row>
    <row r="99" spans="2:22" x14ac:dyDescent="0.25">
      <c r="B99" s="3" t="s">
        <v>169</v>
      </c>
      <c r="C99" s="1" t="s">
        <v>170</v>
      </c>
      <c r="D99" s="2" t="s">
        <v>19</v>
      </c>
      <c r="E99" s="1" t="s">
        <v>492</v>
      </c>
      <c r="F99" s="2" t="s">
        <v>635</v>
      </c>
      <c r="G99" s="1" t="s">
        <v>171</v>
      </c>
      <c r="H99" s="1" t="s">
        <v>3</v>
      </c>
      <c r="I99" t="str">
        <f t="shared" si="11"/>
        <v>1F</v>
      </c>
      <c r="J99" t="str">
        <f t="shared" si="9"/>
        <v xml:space="preserve">0858 </v>
      </c>
      <c r="K99" t="str">
        <f t="shared" si="10"/>
        <v xml:space="preserve">0902 </v>
      </c>
      <c r="L99" t="str">
        <f t="shared" si="12"/>
        <v>Plat 1</v>
      </c>
      <c r="M99" s="8" t="str">
        <f t="shared" si="13"/>
        <v>1</v>
      </c>
      <c r="N99" t="s">
        <v>635</v>
      </c>
    </row>
    <row r="100" spans="2:22" x14ac:dyDescent="0.25">
      <c r="B100" s="3" t="s">
        <v>172</v>
      </c>
      <c r="C100" s="1" t="s">
        <v>173</v>
      </c>
      <c r="D100" s="2" t="s">
        <v>635</v>
      </c>
      <c r="E100" s="1" t="s">
        <v>490</v>
      </c>
      <c r="F100" s="2" t="s">
        <v>636</v>
      </c>
      <c r="G100" s="1" t="s">
        <v>174</v>
      </c>
      <c r="H100" s="1" t="s">
        <v>3</v>
      </c>
      <c r="I100" t="str">
        <f t="shared" si="11"/>
        <v>1H</v>
      </c>
      <c r="J100" t="str">
        <f t="shared" si="9"/>
        <v xml:space="preserve">0859 </v>
      </c>
      <c r="K100" t="str">
        <f t="shared" si="10"/>
        <v xml:space="preserve">0903 </v>
      </c>
      <c r="L100" t="str">
        <f t="shared" si="12"/>
        <v>Plat 4</v>
      </c>
      <c r="M100" s="8" t="str">
        <f t="shared" si="13"/>
        <v>4</v>
      </c>
      <c r="N100" t="s">
        <v>636</v>
      </c>
    </row>
    <row r="101" spans="2:22" ht="15" customHeight="1" x14ac:dyDescent="0.25">
      <c r="B101" s="3" t="s">
        <v>275</v>
      </c>
      <c r="C101" s="1" t="s">
        <v>276</v>
      </c>
      <c r="D101" s="2" t="s">
        <v>636</v>
      </c>
      <c r="E101" s="1" t="s">
        <v>491</v>
      </c>
      <c r="F101" s="2" t="s">
        <v>635</v>
      </c>
      <c r="G101" s="1" t="s">
        <v>277</v>
      </c>
      <c r="H101" s="1" t="s">
        <v>3</v>
      </c>
      <c r="I101" t="str">
        <f t="shared" ref="I101:I123" si="14">LEFT(B101,2)</f>
        <v>1L</v>
      </c>
      <c r="J101" t="str">
        <f t="shared" ref="J101:J123" si="15">LEFT(C101,5)</f>
        <v xml:space="preserve">0905 </v>
      </c>
      <c r="K101" t="str">
        <f t="shared" ref="K101:K123" si="16">LEFT(G101,5)</f>
        <v xml:space="preserve">0909 </v>
      </c>
      <c r="L101" t="str">
        <f t="shared" si="12"/>
        <v>Plat 2</v>
      </c>
      <c r="M101" s="8" t="str">
        <f t="shared" si="13"/>
        <v>2</v>
      </c>
      <c r="N101" t="s">
        <v>635</v>
      </c>
    </row>
    <row r="102" spans="2:22" x14ac:dyDescent="0.25">
      <c r="B102" s="3" t="s">
        <v>278</v>
      </c>
      <c r="C102" s="1" t="s">
        <v>279</v>
      </c>
      <c r="D102" s="2" t="s">
        <v>635</v>
      </c>
      <c r="E102" s="1" t="s">
        <v>489</v>
      </c>
      <c r="F102" s="2" t="s">
        <v>637</v>
      </c>
      <c r="G102" s="1" t="s">
        <v>280</v>
      </c>
      <c r="H102" s="1" t="s">
        <v>3</v>
      </c>
      <c r="I102" t="str">
        <f t="shared" si="14"/>
        <v>1J</v>
      </c>
      <c r="J102" t="str">
        <f t="shared" si="15"/>
        <v xml:space="preserve">0910 </v>
      </c>
      <c r="K102" t="str">
        <f t="shared" si="16"/>
        <v xml:space="preserve">0914 </v>
      </c>
      <c r="L102" t="str">
        <f t="shared" si="12"/>
        <v>Plat 3</v>
      </c>
      <c r="M102" s="8" t="str">
        <f t="shared" si="13"/>
        <v>3</v>
      </c>
      <c r="N102" t="s">
        <v>636</v>
      </c>
      <c r="O102" t="s">
        <v>637</v>
      </c>
    </row>
    <row r="103" spans="2:22" ht="15" customHeight="1" x14ac:dyDescent="0.25">
      <c r="B103" s="3" t="s">
        <v>281</v>
      </c>
      <c r="C103" s="1" t="s">
        <v>282</v>
      </c>
      <c r="D103" s="2" t="s">
        <v>636</v>
      </c>
      <c r="E103" s="1" t="s">
        <v>492</v>
      </c>
      <c r="F103" s="2" t="s">
        <v>635</v>
      </c>
      <c r="G103" s="1" t="s">
        <v>283</v>
      </c>
      <c r="H103" s="1" t="s">
        <v>3</v>
      </c>
      <c r="I103" t="str">
        <f t="shared" si="14"/>
        <v>1H</v>
      </c>
      <c r="J103" t="str">
        <f t="shared" si="15"/>
        <v xml:space="preserve">0912 </v>
      </c>
      <c r="K103" t="str">
        <f t="shared" si="16"/>
        <v xml:space="preserve">0916 </v>
      </c>
      <c r="L103" t="str">
        <f t="shared" si="12"/>
        <v>Plat 1</v>
      </c>
      <c r="M103" s="8" t="str">
        <f t="shared" si="13"/>
        <v>1</v>
      </c>
      <c r="N103" t="s">
        <v>635</v>
      </c>
    </row>
    <row r="104" spans="2:22" ht="15" customHeight="1" x14ac:dyDescent="0.25">
      <c r="B104" s="3" t="s">
        <v>284</v>
      </c>
      <c r="C104" s="1" t="s">
        <v>285</v>
      </c>
      <c r="D104" s="2" t="s">
        <v>635</v>
      </c>
      <c r="E104" s="1" t="s">
        <v>490</v>
      </c>
      <c r="F104" s="2" t="s">
        <v>636</v>
      </c>
      <c r="G104" s="1" t="s">
        <v>286</v>
      </c>
      <c r="H104" s="1" t="s">
        <v>3</v>
      </c>
      <c r="I104" t="str">
        <f t="shared" si="14"/>
        <v>1H</v>
      </c>
      <c r="J104" t="str">
        <f t="shared" si="15"/>
        <v xml:space="preserve">0917 </v>
      </c>
      <c r="K104" t="str">
        <f t="shared" si="16"/>
        <v xml:space="preserve">0921 </v>
      </c>
      <c r="L104" t="str">
        <f t="shared" si="12"/>
        <v>Plat 4</v>
      </c>
      <c r="M104" s="8" t="str">
        <f t="shared" si="13"/>
        <v>4</v>
      </c>
      <c r="N104" t="s">
        <v>636</v>
      </c>
    </row>
    <row r="105" spans="2:22" ht="15" customHeight="1" x14ac:dyDescent="0.25">
      <c r="B105" s="3" t="s">
        <v>287</v>
      </c>
      <c r="C105" s="1" t="s">
        <v>288</v>
      </c>
      <c r="D105" s="2" t="s">
        <v>637</v>
      </c>
      <c r="E105" s="1" t="s">
        <v>491</v>
      </c>
      <c r="F105" s="2" t="s">
        <v>635</v>
      </c>
      <c r="G105" s="1" t="s">
        <v>289</v>
      </c>
      <c r="H105" s="1" t="s">
        <v>3</v>
      </c>
      <c r="I105" t="str">
        <f t="shared" si="14"/>
        <v>1J</v>
      </c>
      <c r="J105" t="str">
        <f t="shared" si="15"/>
        <v xml:space="preserve">0919 </v>
      </c>
      <c r="K105" t="str">
        <f t="shared" si="16"/>
        <v xml:space="preserve">0923 </v>
      </c>
      <c r="L105" t="str">
        <f t="shared" si="12"/>
        <v>Plat 2</v>
      </c>
      <c r="M105" s="8" t="str">
        <f t="shared" si="13"/>
        <v>2</v>
      </c>
      <c r="N105" t="s">
        <v>635</v>
      </c>
    </row>
    <row r="106" spans="2:22" ht="15" customHeight="1" x14ac:dyDescent="0.25">
      <c r="B106" s="3" t="s">
        <v>290</v>
      </c>
      <c r="C106" s="1" t="s">
        <v>291</v>
      </c>
      <c r="D106" s="2" t="s">
        <v>635</v>
      </c>
      <c r="E106" s="1" t="s">
        <v>489</v>
      </c>
      <c r="F106" s="2" t="s">
        <v>19</v>
      </c>
      <c r="G106" s="1" t="s">
        <v>292</v>
      </c>
      <c r="H106" s="1" t="s">
        <v>3</v>
      </c>
      <c r="I106" t="str">
        <f t="shared" si="14"/>
        <v>1F</v>
      </c>
      <c r="J106" t="str">
        <f t="shared" si="15"/>
        <v xml:space="preserve">0924 </v>
      </c>
      <c r="K106" t="str">
        <f t="shared" si="16"/>
        <v xml:space="preserve">0928 </v>
      </c>
      <c r="L106" t="str">
        <f t="shared" si="12"/>
        <v>Plat 3</v>
      </c>
      <c r="M106" s="8" t="str">
        <f t="shared" si="13"/>
        <v>3</v>
      </c>
      <c r="N106" t="s">
        <v>636</v>
      </c>
      <c r="O106" t="s">
        <v>1028</v>
      </c>
      <c r="P106" t="s">
        <v>1029</v>
      </c>
      <c r="Q106" t="s">
        <v>1030</v>
      </c>
      <c r="R106" t="s">
        <v>1031</v>
      </c>
      <c r="S106" t="s">
        <v>1032</v>
      </c>
      <c r="T106" t="s">
        <v>1033</v>
      </c>
      <c r="U106" t="s">
        <v>1034</v>
      </c>
      <c r="V106" t="s">
        <v>19</v>
      </c>
    </row>
    <row r="107" spans="2:22" ht="15" customHeight="1" x14ac:dyDescent="0.25">
      <c r="B107" s="3" t="s">
        <v>293</v>
      </c>
      <c r="C107" s="1" t="s">
        <v>294</v>
      </c>
      <c r="D107" s="2" t="s">
        <v>636</v>
      </c>
      <c r="E107" s="1" t="s">
        <v>492</v>
      </c>
      <c r="F107" s="2" t="s">
        <v>635</v>
      </c>
      <c r="G107" s="1" t="s">
        <v>295</v>
      </c>
      <c r="H107" s="1" t="s">
        <v>3</v>
      </c>
      <c r="I107" t="str">
        <f t="shared" si="14"/>
        <v>1L</v>
      </c>
      <c r="J107" t="str">
        <f t="shared" si="15"/>
        <v xml:space="preserve">0926 </v>
      </c>
      <c r="K107" t="str">
        <f t="shared" si="16"/>
        <v xml:space="preserve">0930 </v>
      </c>
      <c r="L107" t="str">
        <f t="shared" si="12"/>
        <v>Plat 1</v>
      </c>
      <c r="M107" s="8" t="str">
        <f t="shared" si="13"/>
        <v>1</v>
      </c>
      <c r="N107" t="s">
        <v>635</v>
      </c>
    </row>
    <row r="108" spans="2:22" ht="15" customHeight="1" x14ac:dyDescent="0.25">
      <c r="B108" s="3" t="s">
        <v>296</v>
      </c>
      <c r="C108" s="1" t="s">
        <v>297</v>
      </c>
      <c r="D108" s="2" t="s">
        <v>635</v>
      </c>
      <c r="E108" s="1" t="s">
        <v>490</v>
      </c>
      <c r="F108" s="2" t="s">
        <v>636</v>
      </c>
      <c r="G108" s="1" t="s">
        <v>298</v>
      </c>
      <c r="H108" s="1" t="s">
        <v>3</v>
      </c>
      <c r="I108" t="str">
        <f t="shared" si="14"/>
        <v>1L</v>
      </c>
      <c r="J108" t="str">
        <f t="shared" si="15"/>
        <v xml:space="preserve">0931 </v>
      </c>
      <c r="K108" t="str">
        <f t="shared" si="16"/>
        <v xml:space="preserve">0935 </v>
      </c>
      <c r="L108" t="str">
        <f t="shared" si="12"/>
        <v>Plat 4</v>
      </c>
      <c r="M108" s="8" t="str">
        <f t="shared" si="13"/>
        <v>4</v>
      </c>
      <c r="N108" t="s">
        <v>636</v>
      </c>
    </row>
    <row r="109" spans="2:22" ht="15" customHeight="1" x14ac:dyDescent="0.25">
      <c r="B109" s="3" t="s">
        <v>299</v>
      </c>
      <c r="C109" s="1" t="s">
        <v>300</v>
      </c>
      <c r="D109" s="2" t="s">
        <v>636</v>
      </c>
      <c r="E109" s="1" t="s">
        <v>491</v>
      </c>
      <c r="F109" s="2" t="s">
        <v>635</v>
      </c>
      <c r="G109" s="1" t="s">
        <v>301</v>
      </c>
      <c r="H109" s="1" t="s">
        <v>3</v>
      </c>
      <c r="I109" t="str">
        <f t="shared" si="14"/>
        <v>1F</v>
      </c>
      <c r="J109" t="str">
        <f t="shared" si="15"/>
        <v xml:space="preserve">0933 </v>
      </c>
      <c r="K109" t="str">
        <f t="shared" si="16"/>
        <v xml:space="preserve">0937 </v>
      </c>
      <c r="L109" t="str">
        <f t="shared" si="12"/>
        <v>Plat 2</v>
      </c>
      <c r="M109" s="8" t="str">
        <f t="shared" si="13"/>
        <v>2</v>
      </c>
      <c r="N109" t="s">
        <v>635</v>
      </c>
    </row>
    <row r="110" spans="2:22" ht="15" customHeight="1" x14ac:dyDescent="0.25">
      <c r="B110" s="3" t="s">
        <v>302</v>
      </c>
      <c r="C110" s="1" t="s">
        <v>303</v>
      </c>
      <c r="D110" s="2" t="s">
        <v>635</v>
      </c>
      <c r="E110" s="1" t="s">
        <v>489</v>
      </c>
      <c r="F110" s="2" t="s">
        <v>636</v>
      </c>
      <c r="G110" s="1" t="s">
        <v>304</v>
      </c>
      <c r="H110" s="1" t="s">
        <v>3</v>
      </c>
      <c r="I110" t="str">
        <f t="shared" si="14"/>
        <v>1F</v>
      </c>
      <c r="J110" t="str">
        <f t="shared" si="15"/>
        <v xml:space="preserve">0938 </v>
      </c>
      <c r="K110" t="str">
        <f t="shared" si="16"/>
        <v xml:space="preserve">0942 </v>
      </c>
      <c r="L110" t="str">
        <f t="shared" si="12"/>
        <v>Plat 3</v>
      </c>
      <c r="M110" s="8" t="str">
        <f t="shared" si="13"/>
        <v>3</v>
      </c>
      <c r="N110" t="s">
        <v>636</v>
      </c>
    </row>
    <row r="111" spans="2:22" ht="15" customHeight="1" x14ac:dyDescent="0.25">
      <c r="B111" s="3" t="s">
        <v>305</v>
      </c>
      <c r="C111" s="1" t="s">
        <v>306</v>
      </c>
      <c r="D111" s="2" t="s">
        <v>637</v>
      </c>
      <c r="E111" s="1" t="s">
        <v>492</v>
      </c>
      <c r="F111" s="2" t="s">
        <v>635</v>
      </c>
      <c r="G111" s="1" t="s">
        <v>307</v>
      </c>
      <c r="H111" s="1" t="s">
        <v>3</v>
      </c>
      <c r="I111" t="str">
        <f t="shared" si="14"/>
        <v>1J</v>
      </c>
      <c r="J111" t="str">
        <f t="shared" si="15"/>
        <v>0944½</v>
      </c>
      <c r="K111" t="str">
        <f t="shared" si="16"/>
        <v>0948½</v>
      </c>
      <c r="L111" t="str">
        <f t="shared" si="12"/>
        <v>Plat 1</v>
      </c>
      <c r="M111" s="8" t="str">
        <f t="shared" si="13"/>
        <v>1</v>
      </c>
      <c r="N111" t="s">
        <v>635</v>
      </c>
    </row>
    <row r="112" spans="2:22" ht="15" customHeight="1" x14ac:dyDescent="0.25">
      <c r="B112" s="3" t="s">
        <v>308</v>
      </c>
      <c r="C112" s="1" t="s">
        <v>309</v>
      </c>
      <c r="D112" s="2" t="s">
        <v>635</v>
      </c>
      <c r="E112" s="1" t="s">
        <v>490</v>
      </c>
      <c r="F112" s="2" t="s">
        <v>637</v>
      </c>
      <c r="G112" s="1" t="s">
        <v>310</v>
      </c>
      <c r="H112" s="1" t="s">
        <v>3</v>
      </c>
      <c r="I112" t="str">
        <f t="shared" si="14"/>
        <v>1J</v>
      </c>
      <c r="J112" t="str">
        <f t="shared" si="15"/>
        <v xml:space="preserve">0945 </v>
      </c>
      <c r="K112" t="str">
        <f t="shared" si="16"/>
        <v xml:space="preserve">0949 </v>
      </c>
      <c r="L112" t="str">
        <f t="shared" si="12"/>
        <v>Plat 4</v>
      </c>
      <c r="M112" s="8" t="str">
        <f t="shared" si="13"/>
        <v>4</v>
      </c>
      <c r="N112" t="s">
        <v>636</v>
      </c>
      <c r="O112" t="s">
        <v>637</v>
      </c>
    </row>
    <row r="113" spans="2:22" ht="15" customHeight="1" x14ac:dyDescent="0.25">
      <c r="B113" s="3" t="s">
        <v>311</v>
      </c>
      <c r="C113" s="1" t="s">
        <v>312</v>
      </c>
      <c r="D113" s="2" t="s">
        <v>636</v>
      </c>
      <c r="E113" s="1" t="s">
        <v>491</v>
      </c>
      <c r="F113" s="2" t="s">
        <v>635</v>
      </c>
      <c r="G113" s="1" t="s">
        <v>313</v>
      </c>
      <c r="H113" s="1" t="s">
        <v>3</v>
      </c>
      <c r="I113" t="str">
        <f t="shared" si="14"/>
        <v>1H</v>
      </c>
      <c r="J113" t="str">
        <f t="shared" si="15"/>
        <v xml:space="preserve">0951 </v>
      </c>
      <c r="K113" t="str">
        <f t="shared" si="16"/>
        <v xml:space="preserve">0955 </v>
      </c>
      <c r="L113" t="str">
        <f t="shared" si="12"/>
        <v>Plat 2</v>
      </c>
      <c r="M113" s="8" t="str">
        <f t="shared" si="13"/>
        <v>2</v>
      </c>
      <c r="N113" t="s">
        <v>635</v>
      </c>
    </row>
    <row r="114" spans="2:22" ht="15" customHeight="1" x14ac:dyDescent="0.25">
      <c r="B114" s="3" t="s">
        <v>314</v>
      </c>
      <c r="C114" s="1" t="s">
        <v>315</v>
      </c>
      <c r="D114" s="2" t="s">
        <v>635</v>
      </c>
      <c r="E114" s="1" t="s">
        <v>489</v>
      </c>
      <c r="F114" s="2" t="s">
        <v>636</v>
      </c>
      <c r="G114" s="1" t="s">
        <v>316</v>
      </c>
      <c r="H114" s="1" t="s">
        <v>3</v>
      </c>
      <c r="I114" t="str">
        <f t="shared" si="14"/>
        <v>1L</v>
      </c>
      <c r="J114" t="str">
        <f t="shared" si="15"/>
        <v xml:space="preserve">0952 </v>
      </c>
      <c r="K114" t="str">
        <f t="shared" si="16"/>
        <v xml:space="preserve">0956 </v>
      </c>
      <c r="L114" t="str">
        <f t="shared" si="12"/>
        <v>Plat 3</v>
      </c>
      <c r="M114" s="8" t="str">
        <f t="shared" si="13"/>
        <v>3</v>
      </c>
      <c r="N114" t="s">
        <v>636</v>
      </c>
    </row>
    <row r="115" spans="2:22" ht="15" customHeight="1" x14ac:dyDescent="0.25">
      <c r="B115" s="3" t="s">
        <v>317</v>
      </c>
      <c r="C115" s="1" t="s">
        <v>318</v>
      </c>
      <c r="D115" s="2" t="s">
        <v>19</v>
      </c>
      <c r="E115" s="1" t="s">
        <v>492</v>
      </c>
      <c r="F115" s="2" t="s">
        <v>635</v>
      </c>
      <c r="G115" s="1" t="s">
        <v>319</v>
      </c>
      <c r="H115" s="1" t="s">
        <v>3</v>
      </c>
      <c r="I115" t="str">
        <f t="shared" si="14"/>
        <v>1F</v>
      </c>
      <c r="J115" t="str">
        <f t="shared" si="15"/>
        <v xml:space="preserve">0958 </v>
      </c>
      <c r="K115" t="str">
        <f t="shared" si="16"/>
        <v xml:space="preserve">1002 </v>
      </c>
      <c r="L115" t="str">
        <f t="shared" si="12"/>
        <v>Plat 1</v>
      </c>
      <c r="M115" s="8" t="str">
        <f t="shared" si="13"/>
        <v>1</v>
      </c>
      <c r="N115" t="s">
        <v>635</v>
      </c>
    </row>
    <row r="116" spans="2:22" ht="15" customHeight="1" x14ac:dyDescent="0.25">
      <c r="B116" s="3" t="s">
        <v>320</v>
      </c>
      <c r="C116" s="1" t="s">
        <v>321</v>
      </c>
      <c r="D116" s="2" t="s">
        <v>635</v>
      </c>
      <c r="E116" s="1" t="s">
        <v>490</v>
      </c>
      <c r="F116" s="2" t="s">
        <v>636</v>
      </c>
      <c r="G116" s="1" t="s">
        <v>322</v>
      </c>
      <c r="H116" s="1" t="s">
        <v>3</v>
      </c>
      <c r="I116" t="str">
        <f t="shared" si="14"/>
        <v>1H</v>
      </c>
      <c r="J116" t="str">
        <f t="shared" si="15"/>
        <v xml:space="preserve">0959 </v>
      </c>
      <c r="K116" t="str">
        <f t="shared" si="16"/>
        <v xml:space="preserve">1003 </v>
      </c>
      <c r="L116" t="str">
        <f t="shared" si="12"/>
        <v>Plat 4</v>
      </c>
      <c r="M116" s="8" t="str">
        <f t="shared" si="13"/>
        <v>4</v>
      </c>
      <c r="N116" t="s">
        <v>636</v>
      </c>
    </row>
    <row r="117" spans="2:22" ht="15" customHeight="1" x14ac:dyDescent="0.25">
      <c r="B117" s="3" t="s">
        <v>323</v>
      </c>
      <c r="C117" s="1" t="s">
        <v>324</v>
      </c>
      <c r="D117" s="2" t="s">
        <v>636</v>
      </c>
      <c r="E117" s="1" t="s">
        <v>491</v>
      </c>
      <c r="F117" s="2" t="s">
        <v>635</v>
      </c>
      <c r="G117" s="1" t="s">
        <v>325</v>
      </c>
      <c r="H117" s="1" t="s">
        <v>3</v>
      </c>
      <c r="I117" t="str">
        <f t="shared" si="14"/>
        <v>1L</v>
      </c>
      <c r="J117" t="str">
        <f t="shared" si="15"/>
        <v xml:space="preserve">1005 </v>
      </c>
      <c r="K117" t="str">
        <f t="shared" si="16"/>
        <v xml:space="preserve">1009 </v>
      </c>
      <c r="L117" t="str">
        <f t="shared" si="12"/>
        <v>Plat 2</v>
      </c>
      <c r="M117" s="8" t="str">
        <f t="shared" si="13"/>
        <v>2</v>
      </c>
      <c r="N117" t="s">
        <v>635</v>
      </c>
    </row>
    <row r="118" spans="2:22" ht="15" customHeight="1" x14ac:dyDescent="0.25">
      <c r="B118" s="3" t="s">
        <v>326</v>
      </c>
      <c r="C118" s="1" t="s">
        <v>327</v>
      </c>
      <c r="D118" s="2" t="s">
        <v>635</v>
      </c>
      <c r="E118" s="1" t="s">
        <v>489</v>
      </c>
      <c r="F118" s="2" t="s">
        <v>637</v>
      </c>
      <c r="G118" s="1" t="s">
        <v>328</v>
      </c>
      <c r="H118" s="1" t="s">
        <v>3</v>
      </c>
      <c r="I118" t="str">
        <f t="shared" si="14"/>
        <v>1J</v>
      </c>
      <c r="J118" t="str">
        <f t="shared" si="15"/>
        <v xml:space="preserve">1010 </v>
      </c>
      <c r="K118" t="str">
        <f t="shared" si="16"/>
        <v xml:space="preserve">1014 </v>
      </c>
      <c r="L118" t="str">
        <f t="shared" si="12"/>
        <v>Plat 3</v>
      </c>
      <c r="M118" s="8" t="str">
        <f t="shared" si="13"/>
        <v>3</v>
      </c>
      <c r="N118" t="s">
        <v>636</v>
      </c>
      <c r="O118" t="s">
        <v>637</v>
      </c>
    </row>
    <row r="119" spans="2:22" ht="15" customHeight="1" x14ac:dyDescent="0.25">
      <c r="B119" s="3" t="s">
        <v>329</v>
      </c>
      <c r="C119" s="1" t="s">
        <v>330</v>
      </c>
      <c r="D119" s="2" t="s">
        <v>636</v>
      </c>
      <c r="E119" s="1" t="s">
        <v>492</v>
      </c>
      <c r="F119" s="2" t="s">
        <v>635</v>
      </c>
      <c r="G119" s="1" t="s">
        <v>331</v>
      </c>
      <c r="H119" s="1" t="s">
        <v>3</v>
      </c>
      <c r="I119" t="str">
        <f t="shared" si="14"/>
        <v>1H</v>
      </c>
      <c r="J119" t="str">
        <f t="shared" si="15"/>
        <v xml:space="preserve">1012 </v>
      </c>
      <c r="K119" t="str">
        <f t="shared" si="16"/>
        <v xml:space="preserve">1016 </v>
      </c>
      <c r="L119" t="str">
        <f t="shared" si="12"/>
        <v>Plat 1</v>
      </c>
      <c r="M119" s="8" t="str">
        <f t="shared" si="13"/>
        <v>1</v>
      </c>
      <c r="N119" t="s">
        <v>635</v>
      </c>
    </row>
    <row r="120" spans="2:22" ht="15" customHeight="1" x14ac:dyDescent="0.25">
      <c r="B120" s="3" t="s">
        <v>332</v>
      </c>
      <c r="C120" s="1" t="s">
        <v>333</v>
      </c>
      <c r="D120" s="2" t="s">
        <v>635</v>
      </c>
      <c r="E120" s="1" t="s">
        <v>490</v>
      </c>
      <c r="F120" s="2" t="s">
        <v>636</v>
      </c>
      <c r="G120" s="1" t="s">
        <v>334</v>
      </c>
      <c r="H120" s="1" t="s">
        <v>3</v>
      </c>
      <c r="I120" t="str">
        <f t="shared" si="14"/>
        <v>1H</v>
      </c>
      <c r="J120" t="str">
        <f t="shared" si="15"/>
        <v xml:space="preserve">1017 </v>
      </c>
      <c r="K120" t="str">
        <f t="shared" si="16"/>
        <v xml:space="preserve">1021 </v>
      </c>
      <c r="L120" t="str">
        <f t="shared" si="12"/>
        <v>Plat 4</v>
      </c>
      <c r="M120" s="8" t="str">
        <f t="shared" si="13"/>
        <v>4</v>
      </c>
      <c r="N120" t="s">
        <v>636</v>
      </c>
    </row>
    <row r="121" spans="2:22" ht="15" customHeight="1" x14ac:dyDescent="0.25">
      <c r="B121" s="3" t="s">
        <v>335</v>
      </c>
      <c r="C121" s="1" t="s">
        <v>336</v>
      </c>
      <c r="D121" s="2" t="s">
        <v>637</v>
      </c>
      <c r="E121" s="1" t="s">
        <v>491</v>
      </c>
      <c r="F121" s="2" t="s">
        <v>635</v>
      </c>
      <c r="G121" s="1" t="s">
        <v>337</v>
      </c>
      <c r="H121" s="1" t="s">
        <v>3</v>
      </c>
      <c r="I121" t="str">
        <f t="shared" si="14"/>
        <v>1J</v>
      </c>
      <c r="J121" t="str">
        <f t="shared" si="15"/>
        <v xml:space="preserve">1019 </v>
      </c>
      <c r="K121" t="str">
        <f t="shared" si="16"/>
        <v xml:space="preserve">1023 </v>
      </c>
      <c r="L121" t="str">
        <f t="shared" si="12"/>
        <v>Plat 2</v>
      </c>
      <c r="M121" s="8" t="str">
        <f t="shared" si="13"/>
        <v>2</v>
      </c>
      <c r="N121" t="s">
        <v>635</v>
      </c>
    </row>
    <row r="122" spans="2:22" ht="15" customHeight="1" x14ac:dyDescent="0.25">
      <c r="B122" s="3" t="s">
        <v>338</v>
      </c>
      <c r="C122" s="1" t="s">
        <v>339</v>
      </c>
      <c r="D122" s="2" t="s">
        <v>635</v>
      </c>
      <c r="E122" s="1" t="s">
        <v>489</v>
      </c>
      <c r="F122" s="2" t="s">
        <v>19</v>
      </c>
      <c r="G122" s="1" t="s">
        <v>340</v>
      </c>
      <c r="H122" s="1" t="s">
        <v>3</v>
      </c>
      <c r="I122" t="str">
        <f t="shared" si="14"/>
        <v>1F</v>
      </c>
      <c r="J122" t="str">
        <f t="shared" si="15"/>
        <v xml:space="preserve">1024 </v>
      </c>
      <c r="K122" t="str">
        <f t="shared" si="16"/>
        <v xml:space="preserve">1028 </v>
      </c>
      <c r="L122" t="str">
        <f t="shared" si="12"/>
        <v>Plat 3</v>
      </c>
      <c r="M122" s="8" t="str">
        <f t="shared" si="13"/>
        <v>3</v>
      </c>
      <c r="N122" t="s">
        <v>636</v>
      </c>
      <c r="O122" t="s">
        <v>1028</v>
      </c>
      <c r="P122" t="s">
        <v>1029</v>
      </c>
      <c r="Q122" t="s">
        <v>1030</v>
      </c>
      <c r="R122" t="s">
        <v>1031</v>
      </c>
      <c r="S122" t="s">
        <v>1032</v>
      </c>
      <c r="T122" t="s">
        <v>1033</v>
      </c>
      <c r="U122" t="s">
        <v>1034</v>
      </c>
      <c r="V122" t="s">
        <v>19</v>
      </c>
    </row>
    <row r="123" spans="2:22" ht="15" customHeight="1" x14ac:dyDescent="0.25">
      <c r="B123" s="3" t="s">
        <v>341</v>
      </c>
      <c r="C123" s="1" t="s">
        <v>342</v>
      </c>
      <c r="D123" s="2" t="s">
        <v>636</v>
      </c>
      <c r="E123" s="1" t="s">
        <v>492</v>
      </c>
      <c r="F123" s="2" t="s">
        <v>635</v>
      </c>
      <c r="G123" s="1" t="s">
        <v>343</v>
      </c>
      <c r="H123" s="1" t="s">
        <v>3</v>
      </c>
      <c r="I123" t="str">
        <f t="shared" si="14"/>
        <v>1L</v>
      </c>
      <c r="J123" t="str">
        <f t="shared" si="15"/>
        <v xml:space="preserve">1026 </v>
      </c>
      <c r="K123" t="str">
        <f t="shared" si="16"/>
        <v xml:space="preserve">1030 </v>
      </c>
      <c r="L123" t="str">
        <f t="shared" si="12"/>
        <v>Plat 1</v>
      </c>
      <c r="M123" s="8" t="str">
        <f t="shared" si="13"/>
        <v>1</v>
      </c>
      <c r="N123" t="s">
        <v>635</v>
      </c>
    </row>
    <row r="124" spans="2:22" ht="15" customHeight="1" x14ac:dyDescent="0.25">
      <c r="B124" s="3" t="s">
        <v>344</v>
      </c>
      <c r="C124" s="1" t="s">
        <v>345</v>
      </c>
      <c r="D124" s="2" t="s">
        <v>635</v>
      </c>
      <c r="E124" s="1" t="s">
        <v>490</v>
      </c>
      <c r="F124" s="2" t="s">
        <v>636</v>
      </c>
      <c r="G124" s="1" t="s">
        <v>346</v>
      </c>
      <c r="H124" s="1" t="s">
        <v>3</v>
      </c>
      <c r="I124" t="str">
        <f t="shared" ref="I124:I171" si="17">LEFT(B124,2)</f>
        <v>1L</v>
      </c>
      <c r="J124" t="str">
        <f t="shared" ref="J124:J171" si="18">LEFT(C124,5)</f>
        <v xml:space="preserve">1031 </v>
      </c>
      <c r="K124" t="str">
        <f t="shared" ref="K124:K171" si="19">LEFT(G124,5)</f>
        <v xml:space="preserve">1035 </v>
      </c>
      <c r="L124" t="str">
        <f t="shared" si="12"/>
        <v>Plat 4</v>
      </c>
      <c r="M124" s="8" t="str">
        <f t="shared" si="13"/>
        <v>4</v>
      </c>
      <c r="N124" t="s">
        <v>636</v>
      </c>
    </row>
    <row r="125" spans="2:22" ht="15" customHeight="1" x14ac:dyDescent="0.25">
      <c r="B125" s="3" t="s">
        <v>347</v>
      </c>
      <c r="C125" s="1" t="s">
        <v>348</v>
      </c>
      <c r="D125" s="2" t="s">
        <v>636</v>
      </c>
      <c r="E125" s="1" t="s">
        <v>491</v>
      </c>
      <c r="F125" s="2" t="s">
        <v>635</v>
      </c>
      <c r="G125" s="1" t="s">
        <v>349</v>
      </c>
      <c r="H125" s="1" t="s">
        <v>3</v>
      </c>
      <c r="I125" t="str">
        <f t="shared" si="17"/>
        <v>1F</v>
      </c>
      <c r="J125" t="str">
        <f t="shared" si="18"/>
        <v xml:space="preserve">1033 </v>
      </c>
      <c r="K125" t="str">
        <f t="shared" si="19"/>
        <v xml:space="preserve">1037 </v>
      </c>
      <c r="L125" t="str">
        <f t="shared" si="12"/>
        <v>Plat 2</v>
      </c>
      <c r="M125" s="8" t="str">
        <f t="shared" si="13"/>
        <v>2</v>
      </c>
      <c r="N125" t="s">
        <v>635</v>
      </c>
    </row>
    <row r="126" spans="2:22" ht="15" customHeight="1" x14ac:dyDescent="0.25">
      <c r="B126" s="3" t="s">
        <v>350</v>
      </c>
      <c r="C126" s="1" t="s">
        <v>351</v>
      </c>
      <c r="D126" s="2" t="s">
        <v>635</v>
      </c>
      <c r="E126" s="1" t="s">
        <v>489</v>
      </c>
      <c r="F126" s="2" t="s">
        <v>636</v>
      </c>
      <c r="G126" s="1" t="s">
        <v>352</v>
      </c>
      <c r="H126" s="1" t="s">
        <v>3</v>
      </c>
      <c r="I126" t="str">
        <f t="shared" si="17"/>
        <v>1F</v>
      </c>
      <c r="J126" t="str">
        <f t="shared" si="18"/>
        <v xml:space="preserve">1038 </v>
      </c>
      <c r="K126" t="str">
        <f t="shared" si="19"/>
        <v xml:space="preserve">1042 </v>
      </c>
      <c r="L126" t="str">
        <f t="shared" si="12"/>
        <v>Plat 3</v>
      </c>
      <c r="M126" s="8" t="str">
        <f t="shared" si="13"/>
        <v>3</v>
      </c>
      <c r="N126" t="s">
        <v>636</v>
      </c>
    </row>
    <row r="127" spans="2:22" x14ac:dyDescent="0.25">
      <c r="B127" s="3" t="s">
        <v>353</v>
      </c>
      <c r="C127" s="1" t="s">
        <v>354</v>
      </c>
      <c r="D127" s="2" t="s">
        <v>637</v>
      </c>
      <c r="E127" s="1" t="s">
        <v>492</v>
      </c>
      <c r="F127" s="2" t="s">
        <v>635</v>
      </c>
      <c r="G127" s="1" t="s">
        <v>355</v>
      </c>
      <c r="H127" s="1" t="s">
        <v>3</v>
      </c>
      <c r="I127" t="str">
        <f t="shared" si="17"/>
        <v>1J</v>
      </c>
      <c r="J127" t="str">
        <f t="shared" si="18"/>
        <v>1044½</v>
      </c>
      <c r="K127" t="str">
        <f t="shared" si="19"/>
        <v>1048½</v>
      </c>
      <c r="L127" t="str">
        <f t="shared" si="12"/>
        <v>Plat 1</v>
      </c>
      <c r="M127" s="8" t="str">
        <f t="shared" si="13"/>
        <v>1</v>
      </c>
      <c r="N127" t="s">
        <v>635</v>
      </c>
    </row>
    <row r="128" spans="2:22" ht="15" customHeight="1" x14ac:dyDescent="0.25">
      <c r="B128" s="3" t="s">
        <v>356</v>
      </c>
      <c r="C128" s="1" t="s">
        <v>357</v>
      </c>
      <c r="D128" s="2" t="s">
        <v>635</v>
      </c>
      <c r="E128" s="1" t="s">
        <v>490</v>
      </c>
      <c r="F128" s="2" t="s">
        <v>637</v>
      </c>
      <c r="G128" s="1" t="s">
        <v>358</v>
      </c>
      <c r="H128" s="1" t="s">
        <v>3</v>
      </c>
      <c r="I128" t="str">
        <f t="shared" si="17"/>
        <v>1J</v>
      </c>
      <c r="J128" t="str">
        <f t="shared" si="18"/>
        <v xml:space="preserve">1045 </v>
      </c>
      <c r="K128" t="str">
        <f t="shared" si="19"/>
        <v xml:space="preserve">1049 </v>
      </c>
      <c r="L128" t="str">
        <f t="shared" si="12"/>
        <v>Plat 4</v>
      </c>
      <c r="M128" s="8" t="str">
        <f t="shared" si="13"/>
        <v>4</v>
      </c>
      <c r="N128" t="s">
        <v>636</v>
      </c>
      <c r="O128" t="s">
        <v>637</v>
      </c>
    </row>
    <row r="129" spans="2:22" ht="15" customHeight="1" x14ac:dyDescent="0.25">
      <c r="B129" s="3" t="s">
        <v>359</v>
      </c>
      <c r="C129" s="1" t="s">
        <v>360</v>
      </c>
      <c r="D129" s="2" t="s">
        <v>636</v>
      </c>
      <c r="E129" s="1" t="s">
        <v>491</v>
      </c>
      <c r="F129" s="2" t="s">
        <v>635</v>
      </c>
      <c r="G129" s="1" t="s">
        <v>361</v>
      </c>
      <c r="H129" s="1" t="s">
        <v>3</v>
      </c>
      <c r="I129" t="str">
        <f t="shared" si="17"/>
        <v>1H</v>
      </c>
      <c r="J129" t="str">
        <f t="shared" si="18"/>
        <v xml:space="preserve">1051 </v>
      </c>
      <c r="K129" t="str">
        <f t="shared" si="19"/>
        <v xml:space="preserve">1055 </v>
      </c>
      <c r="L129" t="str">
        <f t="shared" si="12"/>
        <v>Plat 2</v>
      </c>
      <c r="M129" s="8" t="str">
        <f t="shared" si="13"/>
        <v>2</v>
      </c>
      <c r="N129" t="s">
        <v>635</v>
      </c>
    </row>
    <row r="130" spans="2:22" ht="15" customHeight="1" x14ac:dyDescent="0.25">
      <c r="B130" s="3" t="s">
        <v>362</v>
      </c>
      <c r="C130" s="1" t="s">
        <v>363</v>
      </c>
      <c r="D130" s="2" t="s">
        <v>635</v>
      </c>
      <c r="E130" s="1" t="s">
        <v>489</v>
      </c>
      <c r="F130" s="2" t="s">
        <v>636</v>
      </c>
      <c r="G130" s="1" t="s">
        <v>364</v>
      </c>
      <c r="H130" s="1" t="s">
        <v>3</v>
      </c>
      <c r="I130" t="str">
        <f t="shared" si="17"/>
        <v>1L</v>
      </c>
      <c r="J130" t="str">
        <f t="shared" si="18"/>
        <v xml:space="preserve">1052 </v>
      </c>
      <c r="K130" t="str">
        <f t="shared" si="19"/>
        <v xml:space="preserve">1056 </v>
      </c>
      <c r="L130" t="str">
        <f t="shared" si="12"/>
        <v>Plat 3</v>
      </c>
      <c r="M130" s="8" t="str">
        <f t="shared" si="13"/>
        <v>3</v>
      </c>
      <c r="N130" t="s">
        <v>636</v>
      </c>
    </row>
    <row r="131" spans="2:22" ht="15" customHeight="1" x14ac:dyDescent="0.25">
      <c r="B131" s="3" t="s">
        <v>365</v>
      </c>
      <c r="C131" s="1" t="s">
        <v>366</v>
      </c>
      <c r="D131" s="2" t="s">
        <v>19</v>
      </c>
      <c r="E131" s="1" t="s">
        <v>492</v>
      </c>
      <c r="F131" s="2" t="s">
        <v>635</v>
      </c>
      <c r="G131" s="1" t="s">
        <v>367</v>
      </c>
      <c r="H131" s="1" t="s">
        <v>3</v>
      </c>
      <c r="I131" t="str">
        <f t="shared" si="17"/>
        <v>1F</v>
      </c>
      <c r="J131" t="str">
        <f t="shared" si="18"/>
        <v xml:space="preserve">1058 </v>
      </c>
      <c r="K131" t="str">
        <f t="shared" si="19"/>
        <v xml:space="preserve">1102 </v>
      </c>
      <c r="L131" t="str">
        <f t="shared" ref="L131:L171" si="20">LEFT(E131,6)</f>
        <v>Plat 1</v>
      </c>
      <c r="M131" s="8" t="str">
        <f t="shared" ref="M131:M194" si="21">RIGHT(L131,1)</f>
        <v>1</v>
      </c>
      <c r="N131" t="s">
        <v>635</v>
      </c>
    </row>
    <row r="132" spans="2:22" ht="15" customHeight="1" x14ac:dyDescent="0.25">
      <c r="B132" s="3" t="s">
        <v>368</v>
      </c>
      <c r="C132" s="1" t="s">
        <v>369</v>
      </c>
      <c r="D132" s="2" t="s">
        <v>635</v>
      </c>
      <c r="E132" s="1" t="s">
        <v>490</v>
      </c>
      <c r="F132" s="2" t="s">
        <v>636</v>
      </c>
      <c r="G132" s="1" t="s">
        <v>370</v>
      </c>
      <c r="H132" s="1" t="s">
        <v>3</v>
      </c>
      <c r="I132" t="str">
        <f t="shared" si="17"/>
        <v>1H</v>
      </c>
      <c r="J132" t="str">
        <f t="shared" si="18"/>
        <v xml:space="preserve">1059 </v>
      </c>
      <c r="K132" t="str">
        <f t="shared" si="19"/>
        <v xml:space="preserve">1103 </v>
      </c>
      <c r="L132" t="str">
        <f t="shared" si="20"/>
        <v>Plat 4</v>
      </c>
      <c r="M132" s="8" t="str">
        <f t="shared" si="21"/>
        <v>4</v>
      </c>
      <c r="N132" t="s">
        <v>636</v>
      </c>
    </row>
    <row r="133" spans="2:22" ht="15" customHeight="1" x14ac:dyDescent="0.25">
      <c r="B133" s="3" t="s">
        <v>371</v>
      </c>
      <c r="C133" s="1" t="s">
        <v>372</v>
      </c>
      <c r="D133" s="2" t="s">
        <v>636</v>
      </c>
      <c r="E133" s="1" t="s">
        <v>491</v>
      </c>
      <c r="F133" s="2" t="s">
        <v>635</v>
      </c>
      <c r="G133" s="1" t="s">
        <v>373</v>
      </c>
      <c r="H133" s="1" t="s">
        <v>3</v>
      </c>
      <c r="I133" t="str">
        <f t="shared" si="17"/>
        <v>1L</v>
      </c>
      <c r="J133" t="str">
        <f t="shared" si="18"/>
        <v xml:space="preserve">1105 </v>
      </c>
      <c r="K133" t="str">
        <f t="shared" si="19"/>
        <v xml:space="preserve">1109 </v>
      </c>
      <c r="L133" t="str">
        <f t="shared" si="20"/>
        <v>Plat 2</v>
      </c>
      <c r="M133" s="8" t="str">
        <f t="shared" si="21"/>
        <v>2</v>
      </c>
      <c r="N133" t="s">
        <v>635</v>
      </c>
    </row>
    <row r="134" spans="2:22" ht="15" customHeight="1" x14ac:dyDescent="0.25">
      <c r="B134" s="3" t="s">
        <v>374</v>
      </c>
      <c r="C134" s="1" t="s">
        <v>375</v>
      </c>
      <c r="D134" s="2" t="s">
        <v>635</v>
      </c>
      <c r="E134" s="1" t="s">
        <v>489</v>
      </c>
      <c r="F134" s="2" t="s">
        <v>637</v>
      </c>
      <c r="G134" s="1" t="s">
        <v>376</v>
      </c>
      <c r="H134" s="1" t="s">
        <v>3</v>
      </c>
      <c r="I134" t="str">
        <f t="shared" si="17"/>
        <v>1J</v>
      </c>
      <c r="J134" t="str">
        <f t="shared" si="18"/>
        <v xml:space="preserve">1110 </v>
      </c>
      <c r="K134" t="str">
        <f t="shared" si="19"/>
        <v xml:space="preserve">1114 </v>
      </c>
      <c r="L134" t="str">
        <f t="shared" si="20"/>
        <v>Plat 3</v>
      </c>
      <c r="M134" s="8" t="str">
        <f t="shared" si="21"/>
        <v>3</v>
      </c>
      <c r="N134" t="s">
        <v>636</v>
      </c>
      <c r="O134" t="s">
        <v>637</v>
      </c>
    </row>
    <row r="135" spans="2:22" ht="15" customHeight="1" x14ac:dyDescent="0.25">
      <c r="B135" s="3" t="s">
        <v>377</v>
      </c>
      <c r="C135" s="1" t="s">
        <v>378</v>
      </c>
      <c r="D135" s="2" t="s">
        <v>636</v>
      </c>
      <c r="E135" s="1" t="s">
        <v>492</v>
      </c>
      <c r="F135" s="2" t="s">
        <v>635</v>
      </c>
      <c r="G135" s="1" t="s">
        <v>379</v>
      </c>
      <c r="H135" s="1" t="s">
        <v>3</v>
      </c>
      <c r="I135" t="str">
        <f t="shared" si="17"/>
        <v>1H</v>
      </c>
      <c r="J135" t="str">
        <f t="shared" si="18"/>
        <v xml:space="preserve">1112 </v>
      </c>
      <c r="K135" t="str">
        <f t="shared" si="19"/>
        <v xml:space="preserve">1116 </v>
      </c>
      <c r="L135" t="str">
        <f t="shared" si="20"/>
        <v>Plat 1</v>
      </c>
      <c r="M135" s="8" t="str">
        <f t="shared" si="21"/>
        <v>1</v>
      </c>
      <c r="N135" t="s">
        <v>635</v>
      </c>
    </row>
    <row r="136" spans="2:22" ht="15" customHeight="1" x14ac:dyDescent="0.25">
      <c r="B136" s="3" t="s">
        <v>380</v>
      </c>
      <c r="C136" s="1" t="s">
        <v>381</v>
      </c>
      <c r="D136" s="2" t="s">
        <v>635</v>
      </c>
      <c r="E136" s="1" t="s">
        <v>490</v>
      </c>
      <c r="F136" s="2" t="s">
        <v>636</v>
      </c>
      <c r="G136" s="1" t="s">
        <v>382</v>
      </c>
      <c r="H136" s="1" t="s">
        <v>3</v>
      </c>
      <c r="I136" t="str">
        <f t="shared" si="17"/>
        <v>1H</v>
      </c>
      <c r="J136" t="str">
        <f t="shared" si="18"/>
        <v xml:space="preserve">1117 </v>
      </c>
      <c r="K136" t="str">
        <f t="shared" si="19"/>
        <v xml:space="preserve">1121 </v>
      </c>
      <c r="L136" t="str">
        <f t="shared" si="20"/>
        <v>Plat 4</v>
      </c>
      <c r="M136" s="8" t="str">
        <f t="shared" si="21"/>
        <v>4</v>
      </c>
      <c r="N136" t="s">
        <v>636</v>
      </c>
    </row>
    <row r="137" spans="2:22" ht="15" customHeight="1" x14ac:dyDescent="0.25">
      <c r="B137" s="3" t="s">
        <v>383</v>
      </c>
      <c r="C137" s="1" t="s">
        <v>384</v>
      </c>
      <c r="D137" s="2" t="s">
        <v>637</v>
      </c>
      <c r="E137" s="1" t="s">
        <v>491</v>
      </c>
      <c r="F137" s="2" t="s">
        <v>635</v>
      </c>
      <c r="G137" s="1" t="s">
        <v>385</v>
      </c>
      <c r="H137" s="1" t="s">
        <v>3</v>
      </c>
      <c r="I137" t="str">
        <f t="shared" si="17"/>
        <v>1J</v>
      </c>
      <c r="J137" t="str">
        <f t="shared" si="18"/>
        <v xml:space="preserve">1119 </v>
      </c>
      <c r="K137" t="str">
        <f t="shared" si="19"/>
        <v xml:space="preserve">1123 </v>
      </c>
      <c r="L137" t="str">
        <f t="shared" si="20"/>
        <v>Plat 2</v>
      </c>
      <c r="M137" s="8" t="str">
        <f t="shared" si="21"/>
        <v>2</v>
      </c>
      <c r="N137" t="s">
        <v>635</v>
      </c>
    </row>
    <row r="138" spans="2:22" ht="15" customHeight="1" x14ac:dyDescent="0.25">
      <c r="B138" s="3" t="s">
        <v>386</v>
      </c>
      <c r="C138" s="1" t="s">
        <v>387</v>
      </c>
      <c r="D138" s="2" t="s">
        <v>635</v>
      </c>
      <c r="E138" s="1" t="s">
        <v>489</v>
      </c>
      <c r="F138" s="2" t="s">
        <v>19</v>
      </c>
      <c r="G138" s="1" t="s">
        <v>388</v>
      </c>
      <c r="H138" s="1" t="s">
        <v>3</v>
      </c>
      <c r="I138" t="str">
        <f t="shared" si="17"/>
        <v>1F</v>
      </c>
      <c r="J138" t="str">
        <f t="shared" si="18"/>
        <v xml:space="preserve">1124 </v>
      </c>
      <c r="K138" t="str">
        <f t="shared" si="19"/>
        <v xml:space="preserve">1128 </v>
      </c>
      <c r="L138" t="str">
        <f t="shared" si="20"/>
        <v>Plat 3</v>
      </c>
      <c r="M138" s="8" t="str">
        <f t="shared" si="21"/>
        <v>3</v>
      </c>
      <c r="N138" t="s">
        <v>636</v>
      </c>
      <c r="O138" t="s">
        <v>1028</v>
      </c>
      <c r="P138" t="s">
        <v>1029</v>
      </c>
      <c r="Q138" t="s">
        <v>1030</v>
      </c>
      <c r="R138" t="s">
        <v>1031</v>
      </c>
      <c r="S138" t="s">
        <v>1032</v>
      </c>
      <c r="T138" t="s">
        <v>1033</v>
      </c>
      <c r="U138" t="s">
        <v>1034</v>
      </c>
      <c r="V138" t="s">
        <v>19</v>
      </c>
    </row>
    <row r="139" spans="2:22" ht="15" customHeight="1" x14ac:dyDescent="0.25">
      <c r="B139" s="3" t="s">
        <v>389</v>
      </c>
      <c r="C139" s="1" t="s">
        <v>390</v>
      </c>
      <c r="D139" s="2" t="s">
        <v>636</v>
      </c>
      <c r="E139" s="1" t="s">
        <v>492</v>
      </c>
      <c r="F139" s="2" t="s">
        <v>635</v>
      </c>
      <c r="G139" s="1" t="s">
        <v>391</v>
      </c>
      <c r="H139" s="1" t="s">
        <v>3</v>
      </c>
      <c r="I139" t="str">
        <f t="shared" si="17"/>
        <v>1L</v>
      </c>
      <c r="J139" t="str">
        <f t="shared" si="18"/>
        <v xml:space="preserve">1126 </v>
      </c>
      <c r="K139" t="str">
        <f t="shared" si="19"/>
        <v xml:space="preserve">1130 </v>
      </c>
      <c r="L139" t="str">
        <f t="shared" si="20"/>
        <v>Plat 1</v>
      </c>
      <c r="M139" s="8" t="str">
        <f t="shared" si="21"/>
        <v>1</v>
      </c>
      <c r="N139" t="s">
        <v>635</v>
      </c>
    </row>
    <row r="140" spans="2:22" ht="15" customHeight="1" x14ac:dyDescent="0.25">
      <c r="B140" s="3" t="s">
        <v>392</v>
      </c>
      <c r="C140" s="1" t="s">
        <v>393</v>
      </c>
      <c r="D140" s="2" t="s">
        <v>635</v>
      </c>
      <c r="E140" s="1" t="s">
        <v>490</v>
      </c>
      <c r="F140" s="2" t="s">
        <v>636</v>
      </c>
      <c r="G140" s="1" t="s">
        <v>394</v>
      </c>
      <c r="H140" s="1" t="s">
        <v>3</v>
      </c>
      <c r="I140" t="str">
        <f t="shared" si="17"/>
        <v>1L</v>
      </c>
      <c r="J140" t="str">
        <f t="shared" si="18"/>
        <v xml:space="preserve">1131 </v>
      </c>
      <c r="K140" t="str">
        <f t="shared" si="19"/>
        <v xml:space="preserve">1135 </v>
      </c>
      <c r="L140" t="str">
        <f t="shared" si="20"/>
        <v>Plat 4</v>
      </c>
      <c r="M140" s="8" t="str">
        <f t="shared" si="21"/>
        <v>4</v>
      </c>
      <c r="N140" t="s">
        <v>636</v>
      </c>
    </row>
    <row r="141" spans="2:22" ht="15" customHeight="1" x14ac:dyDescent="0.25">
      <c r="B141" s="3" t="s">
        <v>395</v>
      </c>
      <c r="C141" s="1" t="s">
        <v>396</v>
      </c>
      <c r="D141" s="2" t="s">
        <v>636</v>
      </c>
      <c r="E141" s="1" t="s">
        <v>491</v>
      </c>
      <c r="F141" s="2" t="s">
        <v>635</v>
      </c>
      <c r="G141" s="1" t="s">
        <v>397</v>
      </c>
      <c r="H141" s="1" t="s">
        <v>3</v>
      </c>
      <c r="I141" t="str">
        <f t="shared" si="17"/>
        <v>1F</v>
      </c>
      <c r="J141" t="str">
        <f t="shared" si="18"/>
        <v xml:space="preserve">1133 </v>
      </c>
      <c r="K141" t="str">
        <f t="shared" si="19"/>
        <v xml:space="preserve">1137 </v>
      </c>
      <c r="L141" t="str">
        <f t="shared" si="20"/>
        <v>Plat 2</v>
      </c>
      <c r="M141" s="8" t="str">
        <f t="shared" si="21"/>
        <v>2</v>
      </c>
      <c r="N141" t="s">
        <v>635</v>
      </c>
    </row>
    <row r="142" spans="2:22" ht="15" customHeight="1" x14ac:dyDescent="0.25">
      <c r="B142" s="3" t="s">
        <v>398</v>
      </c>
      <c r="C142" s="1" t="s">
        <v>399</v>
      </c>
      <c r="D142" s="2" t="s">
        <v>635</v>
      </c>
      <c r="E142" s="1" t="s">
        <v>489</v>
      </c>
      <c r="F142" s="2" t="s">
        <v>636</v>
      </c>
      <c r="G142" s="1" t="s">
        <v>400</v>
      </c>
      <c r="H142" s="1" t="s">
        <v>3</v>
      </c>
      <c r="I142" t="str">
        <f t="shared" si="17"/>
        <v>1F</v>
      </c>
      <c r="J142" t="str">
        <f t="shared" si="18"/>
        <v xml:space="preserve">1138 </v>
      </c>
      <c r="K142" t="str">
        <f t="shared" si="19"/>
        <v xml:space="preserve">1142 </v>
      </c>
      <c r="L142" t="str">
        <f t="shared" si="20"/>
        <v>Plat 3</v>
      </c>
      <c r="M142" s="8" t="str">
        <f t="shared" si="21"/>
        <v>3</v>
      </c>
      <c r="N142" t="s">
        <v>636</v>
      </c>
    </row>
    <row r="143" spans="2:22" ht="15" customHeight="1" x14ac:dyDescent="0.25">
      <c r="B143" s="3" t="s">
        <v>401</v>
      </c>
      <c r="C143" s="1" t="s">
        <v>402</v>
      </c>
      <c r="D143" s="2" t="s">
        <v>637</v>
      </c>
      <c r="E143" s="1" t="s">
        <v>492</v>
      </c>
      <c r="F143" s="2" t="s">
        <v>635</v>
      </c>
      <c r="G143" s="1" t="s">
        <v>403</v>
      </c>
      <c r="H143" s="1" t="s">
        <v>3</v>
      </c>
      <c r="I143" t="str">
        <f t="shared" si="17"/>
        <v>1J</v>
      </c>
      <c r="J143" t="str">
        <f t="shared" si="18"/>
        <v>1144½</v>
      </c>
      <c r="K143" t="str">
        <f t="shared" si="19"/>
        <v>1148½</v>
      </c>
      <c r="L143" t="str">
        <f t="shared" si="20"/>
        <v>Plat 1</v>
      </c>
      <c r="M143" s="8" t="str">
        <f t="shared" si="21"/>
        <v>1</v>
      </c>
      <c r="N143" t="s">
        <v>635</v>
      </c>
    </row>
    <row r="144" spans="2:22" ht="15" customHeight="1" x14ac:dyDescent="0.25">
      <c r="B144" s="3" t="s">
        <v>404</v>
      </c>
      <c r="C144" s="1" t="s">
        <v>405</v>
      </c>
      <c r="D144" s="2" t="s">
        <v>635</v>
      </c>
      <c r="E144" s="1" t="s">
        <v>490</v>
      </c>
      <c r="F144" s="2" t="s">
        <v>637</v>
      </c>
      <c r="G144" s="1" t="s">
        <v>406</v>
      </c>
      <c r="H144" s="1" t="s">
        <v>3</v>
      </c>
      <c r="I144" t="str">
        <f t="shared" si="17"/>
        <v>1J</v>
      </c>
      <c r="J144" t="str">
        <f t="shared" si="18"/>
        <v xml:space="preserve">1145 </v>
      </c>
      <c r="K144" t="str">
        <f t="shared" si="19"/>
        <v xml:space="preserve">1149 </v>
      </c>
      <c r="L144" t="str">
        <f t="shared" si="20"/>
        <v>Plat 4</v>
      </c>
      <c r="M144" s="8" t="str">
        <f t="shared" si="21"/>
        <v>4</v>
      </c>
      <c r="N144" t="s">
        <v>636</v>
      </c>
      <c r="O144" t="s">
        <v>637</v>
      </c>
    </row>
    <row r="145" spans="2:22" ht="15" customHeight="1" x14ac:dyDescent="0.25">
      <c r="B145" s="3" t="s">
        <v>407</v>
      </c>
      <c r="C145" s="1" t="s">
        <v>408</v>
      </c>
      <c r="D145" s="2" t="s">
        <v>636</v>
      </c>
      <c r="E145" s="1" t="s">
        <v>491</v>
      </c>
      <c r="F145" s="2" t="s">
        <v>635</v>
      </c>
      <c r="G145" s="1" t="s">
        <v>409</v>
      </c>
      <c r="H145" s="1" t="s">
        <v>3</v>
      </c>
      <c r="I145" t="str">
        <f t="shared" si="17"/>
        <v>1H</v>
      </c>
      <c r="J145" t="str">
        <f t="shared" si="18"/>
        <v xml:space="preserve">1151 </v>
      </c>
      <c r="K145" t="str">
        <f t="shared" si="19"/>
        <v xml:space="preserve">1155 </v>
      </c>
      <c r="L145" t="str">
        <f t="shared" si="20"/>
        <v>Plat 2</v>
      </c>
      <c r="M145" s="8" t="str">
        <f t="shared" si="21"/>
        <v>2</v>
      </c>
      <c r="N145" t="s">
        <v>635</v>
      </c>
    </row>
    <row r="146" spans="2:22" ht="15" customHeight="1" x14ac:dyDescent="0.25">
      <c r="B146" s="3" t="s">
        <v>410</v>
      </c>
      <c r="C146" s="1" t="s">
        <v>411</v>
      </c>
      <c r="D146" s="2" t="s">
        <v>635</v>
      </c>
      <c r="E146" s="1" t="s">
        <v>489</v>
      </c>
      <c r="F146" s="2" t="s">
        <v>636</v>
      </c>
      <c r="G146" s="1" t="s">
        <v>412</v>
      </c>
      <c r="H146" s="1" t="s">
        <v>3</v>
      </c>
      <c r="I146" t="str">
        <f t="shared" si="17"/>
        <v>1L</v>
      </c>
      <c r="J146" t="str">
        <f t="shared" si="18"/>
        <v xml:space="preserve">1152 </v>
      </c>
      <c r="K146" t="str">
        <f t="shared" si="19"/>
        <v xml:space="preserve">1156 </v>
      </c>
      <c r="L146" t="str">
        <f t="shared" si="20"/>
        <v>Plat 3</v>
      </c>
      <c r="M146" s="8" t="str">
        <f t="shared" si="21"/>
        <v>3</v>
      </c>
      <c r="N146" t="s">
        <v>636</v>
      </c>
    </row>
    <row r="147" spans="2:22" ht="15" customHeight="1" x14ac:dyDescent="0.25">
      <c r="B147" s="3" t="s">
        <v>413</v>
      </c>
      <c r="C147" s="1" t="s">
        <v>414</v>
      </c>
      <c r="D147" s="2" t="s">
        <v>19</v>
      </c>
      <c r="E147" s="1" t="s">
        <v>492</v>
      </c>
      <c r="F147" s="2" t="s">
        <v>635</v>
      </c>
      <c r="G147" s="1" t="s">
        <v>415</v>
      </c>
      <c r="H147" s="1" t="s">
        <v>3</v>
      </c>
      <c r="I147" t="str">
        <f t="shared" si="17"/>
        <v>1F</v>
      </c>
      <c r="J147" t="str">
        <f t="shared" si="18"/>
        <v xml:space="preserve">1158 </v>
      </c>
      <c r="K147" t="str">
        <f t="shared" si="19"/>
        <v xml:space="preserve">1202 </v>
      </c>
      <c r="L147" t="str">
        <f t="shared" si="20"/>
        <v>Plat 1</v>
      </c>
      <c r="M147" s="8" t="str">
        <f t="shared" si="21"/>
        <v>1</v>
      </c>
      <c r="N147" t="s">
        <v>635</v>
      </c>
    </row>
    <row r="148" spans="2:22" ht="15" customHeight="1" x14ac:dyDescent="0.25">
      <c r="B148" s="3" t="s">
        <v>416</v>
      </c>
      <c r="C148" s="1" t="s">
        <v>417</v>
      </c>
      <c r="D148" s="2" t="s">
        <v>635</v>
      </c>
      <c r="E148" s="1" t="s">
        <v>490</v>
      </c>
      <c r="F148" s="2" t="s">
        <v>636</v>
      </c>
      <c r="G148" s="1" t="s">
        <v>418</v>
      </c>
      <c r="H148" s="1" t="s">
        <v>3</v>
      </c>
      <c r="I148" t="str">
        <f t="shared" si="17"/>
        <v>1H</v>
      </c>
      <c r="J148" t="str">
        <f t="shared" si="18"/>
        <v xml:space="preserve">1159 </v>
      </c>
      <c r="K148" t="str">
        <f t="shared" si="19"/>
        <v xml:space="preserve">1203 </v>
      </c>
      <c r="L148" t="str">
        <f t="shared" si="20"/>
        <v>Plat 4</v>
      </c>
      <c r="M148" s="8" t="str">
        <f t="shared" si="21"/>
        <v>4</v>
      </c>
      <c r="N148" t="s">
        <v>636</v>
      </c>
    </row>
    <row r="149" spans="2:22" ht="15" customHeight="1" x14ac:dyDescent="0.25">
      <c r="B149" s="3" t="s">
        <v>419</v>
      </c>
      <c r="C149" s="1" t="s">
        <v>420</v>
      </c>
      <c r="D149" s="2" t="s">
        <v>636</v>
      </c>
      <c r="E149" s="1" t="s">
        <v>491</v>
      </c>
      <c r="F149" s="2" t="s">
        <v>635</v>
      </c>
      <c r="G149" s="1" t="s">
        <v>421</v>
      </c>
      <c r="H149" s="1" t="s">
        <v>3</v>
      </c>
      <c r="I149" t="str">
        <f t="shared" si="17"/>
        <v>1L</v>
      </c>
      <c r="J149" t="str">
        <f t="shared" si="18"/>
        <v xml:space="preserve">1205 </v>
      </c>
      <c r="K149" t="str">
        <f t="shared" si="19"/>
        <v xml:space="preserve">1209 </v>
      </c>
      <c r="L149" t="str">
        <f t="shared" si="20"/>
        <v>Plat 2</v>
      </c>
      <c r="M149" s="8" t="str">
        <f t="shared" si="21"/>
        <v>2</v>
      </c>
      <c r="N149" t="s">
        <v>635</v>
      </c>
    </row>
    <row r="150" spans="2:22" ht="15" customHeight="1" x14ac:dyDescent="0.25">
      <c r="B150" s="3" t="s">
        <v>422</v>
      </c>
      <c r="C150" s="1" t="s">
        <v>423</v>
      </c>
      <c r="D150" s="2" t="s">
        <v>635</v>
      </c>
      <c r="E150" s="1" t="s">
        <v>489</v>
      </c>
      <c r="F150" s="2" t="s">
        <v>637</v>
      </c>
      <c r="G150" s="1" t="s">
        <v>424</v>
      </c>
      <c r="H150" s="1" t="s">
        <v>3</v>
      </c>
      <c r="I150" t="str">
        <f t="shared" si="17"/>
        <v>1J</v>
      </c>
      <c r="J150" t="str">
        <f t="shared" si="18"/>
        <v xml:space="preserve">1210 </v>
      </c>
      <c r="K150" t="str">
        <f t="shared" si="19"/>
        <v xml:space="preserve">1214 </v>
      </c>
      <c r="L150" t="str">
        <f t="shared" si="20"/>
        <v>Plat 3</v>
      </c>
      <c r="M150" s="8" t="str">
        <f t="shared" si="21"/>
        <v>3</v>
      </c>
      <c r="N150" t="s">
        <v>636</v>
      </c>
      <c r="O150" t="s">
        <v>637</v>
      </c>
    </row>
    <row r="151" spans="2:22" ht="15" customHeight="1" x14ac:dyDescent="0.25">
      <c r="B151" s="3" t="s">
        <v>425</v>
      </c>
      <c r="C151" s="1" t="s">
        <v>426</v>
      </c>
      <c r="D151" s="2" t="s">
        <v>636</v>
      </c>
      <c r="E151" s="1" t="s">
        <v>492</v>
      </c>
      <c r="F151" s="2" t="s">
        <v>635</v>
      </c>
      <c r="G151" s="1" t="s">
        <v>427</v>
      </c>
      <c r="H151" s="1" t="s">
        <v>3</v>
      </c>
      <c r="I151" t="str">
        <f t="shared" si="17"/>
        <v>1H</v>
      </c>
      <c r="J151" t="str">
        <f t="shared" si="18"/>
        <v xml:space="preserve">1212 </v>
      </c>
      <c r="K151" t="str">
        <f t="shared" si="19"/>
        <v xml:space="preserve">1216 </v>
      </c>
      <c r="L151" t="str">
        <f t="shared" si="20"/>
        <v>Plat 1</v>
      </c>
      <c r="M151" s="8" t="str">
        <f t="shared" si="21"/>
        <v>1</v>
      </c>
      <c r="N151" t="s">
        <v>635</v>
      </c>
    </row>
    <row r="152" spans="2:22" ht="15" customHeight="1" x14ac:dyDescent="0.25">
      <c r="B152" s="3" t="s">
        <v>428</v>
      </c>
      <c r="C152" s="1" t="s">
        <v>429</v>
      </c>
      <c r="D152" s="2" t="s">
        <v>635</v>
      </c>
      <c r="E152" s="1" t="s">
        <v>490</v>
      </c>
      <c r="F152" s="2" t="s">
        <v>636</v>
      </c>
      <c r="G152" s="1" t="s">
        <v>430</v>
      </c>
      <c r="H152" s="1" t="s">
        <v>3</v>
      </c>
      <c r="I152" t="str">
        <f t="shared" si="17"/>
        <v>1H</v>
      </c>
      <c r="J152" t="str">
        <f t="shared" si="18"/>
        <v xml:space="preserve">1217 </v>
      </c>
      <c r="K152" t="str">
        <f t="shared" si="19"/>
        <v xml:space="preserve">1221 </v>
      </c>
      <c r="L152" t="str">
        <f t="shared" si="20"/>
        <v>Plat 4</v>
      </c>
      <c r="M152" s="8" t="str">
        <f t="shared" si="21"/>
        <v>4</v>
      </c>
      <c r="N152" t="s">
        <v>636</v>
      </c>
    </row>
    <row r="153" spans="2:22" ht="15" customHeight="1" x14ac:dyDescent="0.25">
      <c r="B153" s="3" t="s">
        <v>431</v>
      </c>
      <c r="C153" s="1" t="s">
        <v>432</v>
      </c>
      <c r="D153" s="2" t="s">
        <v>637</v>
      </c>
      <c r="E153" s="1" t="s">
        <v>491</v>
      </c>
      <c r="F153" s="2" t="s">
        <v>635</v>
      </c>
      <c r="G153" s="1" t="s">
        <v>433</v>
      </c>
      <c r="H153" s="1" t="s">
        <v>3</v>
      </c>
      <c r="I153" t="str">
        <f t="shared" si="17"/>
        <v>1J</v>
      </c>
      <c r="J153" t="str">
        <f t="shared" si="18"/>
        <v xml:space="preserve">1219 </v>
      </c>
      <c r="K153" t="str">
        <f t="shared" si="19"/>
        <v xml:space="preserve">1223 </v>
      </c>
      <c r="L153" t="str">
        <f t="shared" si="20"/>
        <v>Plat 2</v>
      </c>
      <c r="M153" s="8" t="str">
        <f t="shared" si="21"/>
        <v>2</v>
      </c>
      <c r="N153" t="s">
        <v>635</v>
      </c>
    </row>
    <row r="154" spans="2:22" ht="15" customHeight="1" x14ac:dyDescent="0.25">
      <c r="B154" s="3" t="s">
        <v>434</v>
      </c>
      <c r="C154" s="1" t="s">
        <v>435</v>
      </c>
      <c r="D154" s="2" t="s">
        <v>635</v>
      </c>
      <c r="E154" s="1" t="s">
        <v>489</v>
      </c>
      <c r="F154" s="2" t="s">
        <v>19</v>
      </c>
      <c r="G154" s="1" t="s">
        <v>436</v>
      </c>
      <c r="H154" s="1" t="s">
        <v>3</v>
      </c>
      <c r="I154" t="str">
        <f t="shared" si="17"/>
        <v>1F</v>
      </c>
      <c r="J154" t="str">
        <f t="shared" si="18"/>
        <v xml:space="preserve">1224 </v>
      </c>
      <c r="K154" t="str">
        <f t="shared" si="19"/>
        <v xml:space="preserve">1228 </v>
      </c>
      <c r="L154" t="str">
        <f t="shared" si="20"/>
        <v>Plat 3</v>
      </c>
      <c r="M154" s="8" t="str">
        <f t="shared" si="21"/>
        <v>3</v>
      </c>
      <c r="N154" t="s">
        <v>636</v>
      </c>
      <c r="O154" t="s">
        <v>1028</v>
      </c>
      <c r="P154" t="s">
        <v>1029</v>
      </c>
      <c r="Q154" t="s">
        <v>1030</v>
      </c>
      <c r="R154" t="s">
        <v>1031</v>
      </c>
      <c r="S154" t="s">
        <v>1032</v>
      </c>
      <c r="T154" t="s">
        <v>1033</v>
      </c>
      <c r="U154" t="s">
        <v>1034</v>
      </c>
      <c r="V154" t="s">
        <v>19</v>
      </c>
    </row>
    <row r="155" spans="2:22" ht="15" customHeight="1" x14ac:dyDescent="0.25">
      <c r="B155" s="3" t="s">
        <v>437</v>
      </c>
      <c r="C155" s="1" t="s">
        <v>438</v>
      </c>
      <c r="D155" s="2" t="s">
        <v>636</v>
      </c>
      <c r="E155" s="1" t="s">
        <v>492</v>
      </c>
      <c r="F155" s="2" t="s">
        <v>635</v>
      </c>
      <c r="G155" s="1" t="s">
        <v>439</v>
      </c>
      <c r="H155" s="1" t="s">
        <v>3</v>
      </c>
      <c r="I155" t="str">
        <f t="shared" si="17"/>
        <v>1L</v>
      </c>
      <c r="J155" t="str">
        <f t="shared" si="18"/>
        <v xml:space="preserve">1226 </v>
      </c>
      <c r="K155" t="str">
        <f t="shared" si="19"/>
        <v xml:space="preserve">1230 </v>
      </c>
      <c r="L155" t="str">
        <f t="shared" si="20"/>
        <v>Plat 1</v>
      </c>
      <c r="M155" s="8" t="str">
        <f t="shared" si="21"/>
        <v>1</v>
      </c>
      <c r="N155" t="s">
        <v>635</v>
      </c>
    </row>
    <row r="156" spans="2:22" ht="15" customHeight="1" x14ac:dyDescent="0.25">
      <c r="B156" s="3" t="s">
        <v>440</v>
      </c>
      <c r="C156" s="1" t="s">
        <v>441</v>
      </c>
      <c r="D156" s="2" t="s">
        <v>635</v>
      </c>
      <c r="E156" s="1" t="s">
        <v>490</v>
      </c>
      <c r="F156" s="2" t="s">
        <v>636</v>
      </c>
      <c r="G156" s="1" t="s">
        <v>442</v>
      </c>
      <c r="H156" s="1" t="s">
        <v>3</v>
      </c>
      <c r="I156" t="str">
        <f t="shared" si="17"/>
        <v>1L</v>
      </c>
      <c r="J156" t="str">
        <f t="shared" si="18"/>
        <v xml:space="preserve">1231 </v>
      </c>
      <c r="K156" t="str">
        <f t="shared" si="19"/>
        <v xml:space="preserve">1235 </v>
      </c>
      <c r="L156" t="str">
        <f t="shared" si="20"/>
        <v>Plat 4</v>
      </c>
      <c r="M156" s="8" t="str">
        <f t="shared" si="21"/>
        <v>4</v>
      </c>
      <c r="N156" t="s">
        <v>636</v>
      </c>
    </row>
    <row r="157" spans="2:22" ht="15" customHeight="1" x14ac:dyDescent="0.25">
      <c r="B157" s="3" t="s">
        <v>443</v>
      </c>
      <c r="C157" s="1" t="s">
        <v>444</v>
      </c>
      <c r="D157" s="2" t="s">
        <v>636</v>
      </c>
      <c r="E157" s="1" t="s">
        <v>491</v>
      </c>
      <c r="F157" s="2" t="s">
        <v>635</v>
      </c>
      <c r="G157" s="1" t="s">
        <v>445</v>
      </c>
      <c r="H157" s="1" t="s">
        <v>3</v>
      </c>
      <c r="I157" t="str">
        <f t="shared" si="17"/>
        <v>1F</v>
      </c>
      <c r="J157" t="str">
        <f t="shared" si="18"/>
        <v xml:space="preserve">1233 </v>
      </c>
      <c r="K157" t="str">
        <f t="shared" si="19"/>
        <v xml:space="preserve">1237 </v>
      </c>
      <c r="L157" t="str">
        <f t="shared" si="20"/>
        <v>Plat 2</v>
      </c>
      <c r="M157" s="8" t="str">
        <f t="shared" si="21"/>
        <v>2</v>
      </c>
      <c r="N157" t="s">
        <v>635</v>
      </c>
    </row>
    <row r="158" spans="2:22" ht="15" customHeight="1" x14ac:dyDescent="0.25">
      <c r="B158" s="3" t="s">
        <v>446</v>
      </c>
      <c r="C158" s="1" t="s">
        <v>447</v>
      </c>
      <c r="D158" s="2" t="s">
        <v>635</v>
      </c>
      <c r="E158" s="1" t="s">
        <v>489</v>
      </c>
      <c r="F158" s="2" t="s">
        <v>636</v>
      </c>
      <c r="G158" s="1" t="s">
        <v>448</v>
      </c>
      <c r="H158" s="1" t="s">
        <v>3</v>
      </c>
      <c r="I158" t="str">
        <f t="shared" si="17"/>
        <v>1F</v>
      </c>
      <c r="J158" t="str">
        <f t="shared" si="18"/>
        <v xml:space="preserve">1238 </v>
      </c>
      <c r="K158" t="str">
        <f t="shared" si="19"/>
        <v xml:space="preserve">1242 </v>
      </c>
      <c r="L158" t="str">
        <f t="shared" si="20"/>
        <v>Plat 3</v>
      </c>
      <c r="M158" s="8" t="str">
        <f t="shared" si="21"/>
        <v>3</v>
      </c>
      <c r="N158" t="s">
        <v>636</v>
      </c>
    </row>
    <row r="159" spans="2:22" ht="15" customHeight="1" x14ac:dyDescent="0.25">
      <c r="B159" s="3" t="s">
        <v>449</v>
      </c>
      <c r="C159" s="1" t="s">
        <v>450</v>
      </c>
      <c r="D159" s="2" t="s">
        <v>637</v>
      </c>
      <c r="E159" s="1" t="s">
        <v>492</v>
      </c>
      <c r="F159" s="2" t="s">
        <v>635</v>
      </c>
      <c r="G159" s="1" t="s">
        <v>451</v>
      </c>
      <c r="H159" s="1" t="s">
        <v>3</v>
      </c>
      <c r="I159" t="str">
        <f t="shared" si="17"/>
        <v>1J</v>
      </c>
      <c r="J159" t="str">
        <f t="shared" si="18"/>
        <v>1244½</v>
      </c>
      <c r="K159" t="str">
        <f t="shared" si="19"/>
        <v>1248½</v>
      </c>
      <c r="L159" t="str">
        <f t="shared" si="20"/>
        <v>Plat 1</v>
      </c>
      <c r="M159" s="8" t="str">
        <f t="shared" si="21"/>
        <v>1</v>
      </c>
      <c r="N159" t="s">
        <v>635</v>
      </c>
    </row>
    <row r="160" spans="2:22" ht="15" customHeight="1" x14ac:dyDescent="0.25">
      <c r="B160" s="3" t="s">
        <v>452</v>
      </c>
      <c r="C160" s="1" t="s">
        <v>453</v>
      </c>
      <c r="D160" s="2" t="s">
        <v>635</v>
      </c>
      <c r="E160" s="1" t="s">
        <v>490</v>
      </c>
      <c r="F160" s="2" t="s">
        <v>637</v>
      </c>
      <c r="G160" s="1" t="s">
        <v>454</v>
      </c>
      <c r="H160" s="1" t="s">
        <v>3</v>
      </c>
      <c r="I160" t="str">
        <f t="shared" si="17"/>
        <v>1J</v>
      </c>
      <c r="J160" t="str">
        <f t="shared" si="18"/>
        <v xml:space="preserve">1245 </v>
      </c>
      <c r="K160" t="str">
        <f t="shared" si="19"/>
        <v xml:space="preserve">1249 </v>
      </c>
      <c r="L160" t="str">
        <f t="shared" si="20"/>
        <v>Plat 4</v>
      </c>
      <c r="M160" s="8" t="str">
        <f t="shared" si="21"/>
        <v>4</v>
      </c>
      <c r="N160" t="s">
        <v>636</v>
      </c>
      <c r="O160" t="s">
        <v>637</v>
      </c>
    </row>
    <row r="161" spans="2:22" ht="15" customHeight="1" x14ac:dyDescent="0.25">
      <c r="B161" s="3" t="s">
        <v>455</v>
      </c>
      <c r="C161" s="1" t="s">
        <v>456</v>
      </c>
      <c r="D161" s="2" t="s">
        <v>636</v>
      </c>
      <c r="E161" s="1" t="s">
        <v>491</v>
      </c>
      <c r="F161" s="2" t="s">
        <v>635</v>
      </c>
      <c r="G161" s="1" t="s">
        <v>457</v>
      </c>
      <c r="H161" s="1" t="s">
        <v>3</v>
      </c>
      <c r="I161" t="str">
        <f t="shared" si="17"/>
        <v>1H</v>
      </c>
      <c r="J161" t="str">
        <f t="shared" si="18"/>
        <v xml:space="preserve">1251 </v>
      </c>
      <c r="K161" t="str">
        <f t="shared" si="19"/>
        <v xml:space="preserve">1255 </v>
      </c>
      <c r="L161" t="str">
        <f t="shared" si="20"/>
        <v>Plat 2</v>
      </c>
      <c r="M161" s="8" t="str">
        <f t="shared" si="21"/>
        <v>2</v>
      </c>
      <c r="N161" t="s">
        <v>635</v>
      </c>
    </row>
    <row r="162" spans="2:22" ht="15" customHeight="1" x14ac:dyDescent="0.25">
      <c r="B162" s="3" t="s">
        <v>458</v>
      </c>
      <c r="C162" s="1" t="s">
        <v>459</v>
      </c>
      <c r="D162" s="2" t="s">
        <v>635</v>
      </c>
      <c r="E162" s="1" t="s">
        <v>489</v>
      </c>
      <c r="F162" s="2" t="s">
        <v>636</v>
      </c>
      <c r="G162" s="1" t="s">
        <v>460</v>
      </c>
      <c r="H162" s="1" t="s">
        <v>3</v>
      </c>
      <c r="I162" t="str">
        <f t="shared" si="17"/>
        <v>1L</v>
      </c>
      <c r="J162" t="str">
        <f t="shared" si="18"/>
        <v xml:space="preserve">1252 </v>
      </c>
      <c r="K162" t="str">
        <f t="shared" si="19"/>
        <v xml:space="preserve">1256 </v>
      </c>
      <c r="L162" t="str">
        <f t="shared" si="20"/>
        <v>Plat 3</v>
      </c>
      <c r="M162" s="8" t="str">
        <f t="shared" si="21"/>
        <v>3</v>
      </c>
      <c r="N162" t="s">
        <v>636</v>
      </c>
    </row>
    <row r="163" spans="2:22" ht="15" customHeight="1" x14ac:dyDescent="0.25">
      <c r="B163" s="3" t="s">
        <v>461</v>
      </c>
      <c r="C163" s="1" t="s">
        <v>462</v>
      </c>
      <c r="D163" s="2" t="s">
        <v>19</v>
      </c>
      <c r="E163" s="1" t="s">
        <v>492</v>
      </c>
      <c r="F163" s="2" t="s">
        <v>635</v>
      </c>
      <c r="G163" s="1" t="s">
        <v>463</v>
      </c>
      <c r="H163" s="1" t="s">
        <v>3</v>
      </c>
      <c r="I163" t="str">
        <f t="shared" si="17"/>
        <v>1F</v>
      </c>
      <c r="J163" t="str">
        <f t="shared" si="18"/>
        <v xml:space="preserve">1258 </v>
      </c>
      <c r="K163" t="str">
        <f t="shared" si="19"/>
        <v xml:space="preserve">1302 </v>
      </c>
      <c r="L163" t="str">
        <f t="shared" si="20"/>
        <v>Plat 1</v>
      </c>
      <c r="M163" s="8" t="str">
        <f t="shared" si="21"/>
        <v>1</v>
      </c>
      <c r="N163" t="s">
        <v>635</v>
      </c>
    </row>
    <row r="164" spans="2:22" ht="15" customHeight="1" x14ac:dyDescent="0.25">
      <c r="B164" s="3" t="s">
        <v>464</v>
      </c>
      <c r="C164" s="1" t="s">
        <v>465</v>
      </c>
      <c r="D164" s="2" t="s">
        <v>635</v>
      </c>
      <c r="E164" s="1" t="s">
        <v>490</v>
      </c>
      <c r="F164" s="2" t="s">
        <v>636</v>
      </c>
      <c r="G164" s="1" t="s">
        <v>466</v>
      </c>
      <c r="H164" s="1" t="s">
        <v>3</v>
      </c>
      <c r="I164" t="str">
        <f t="shared" si="17"/>
        <v>1H</v>
      </c>
      <c r="J164" t="str">
        <f t="shared" si="18"/>
        <v xml:space="preserve">1259 </v>
      </c>
      <c r="K164" t="str">
        <f t="shared" si="19"/>
        <v xml:space="preserve">1303 </v>
      </c>
      <c r="L164" t="str">
        <f t="shared" si="20"/>
        <v>Plat 4</v>
      </c>
      <c r="M164" s="8" t="str">
        <f t="shared" si="21"/>
        <v>4</v>
      </c>
      <c r="N164" t="s">
        <v>636</v>
      </c>
    </row>
    <row r="165" spans="2:22" ht="15" customHeight="1" x14ac:dyDescent="0.25">
      <c r="B165" s="3" t="s">
        <v>467</v>
      </c>
      <c r="C165" s="1" t="s">
        <v>468</v>
      </c>
      <c r="D165" s="2" t="s">
        <v>636</v>
      </c>
      <c r="E165" s="1" t="s">
        <v>491</v>
      </c>
      <c r="F165" s="2" t="s">
        <v>635</v>
      </c>
      <c r="G165" s="1" t="s">
        <v>469</v>
      </c>
      <c r="H165" s="1" t="s">
        <v>3</v>
      </c>
      <c r="I165" t="str">
        <f t="shared" si="17"/>
        <v>1L</v>
      </c>
      <c r="J165" t="str">
        <f t="shared" si="18"/>
        <v xml:space="preserve">1305 </v>
      </c>
      <c r="K165" t="str">
        <f t="shared" si="19"/>
        <v xml:space="preserve">1309 </v>
      </c>
      <c r="L165" t="str">
        <f t="shared" si="20"/>
        <v>Plat 2</v>
      </c>
      <c r="M165" s="8" t="str">
        <f t="shared" si="21"/>
        <v>2</v>
      </c>
      <c r="N165" t="s">
        <v>635</v>
      </c>
    </row>
    <row r="166" spans="2:22" ht="15" customHeight="1" x14ac:dyDescent="0.25">
      <c r="B166" s="3" t="s">
        <v>10</v>
      </c>
      <c r="C166" s="1" t="s">
        <v>470</v>
      </c>
      <c r="D166" s="2" t="s">
        <v>635</v>
      </c>
      <c r="E166" s="1" t="s">
        <v>489</v>
      </c>
      <c r="F166" s="2" t="s">
        <v>637</v>
      </c>
      <c r="G166" s="1" t="s">
        <v>471</v>
      </c>
      <c r="H166" s="1" t="s">
        <v>3</v>
      </c>
      <c r="I166" t="str">
        <f t="shared" si="17"/>
        <v>1J</v>
      </c>
      <c r="J166" t="str">
        <f t="shared" si="18"/>
        <v xml:space="preserve">1310 </v>
      </c>
      <c r="K166" t="str">
        <f t="shared" si="19"/>
        <v xml:space="preserve">1314 </v>
      </c>
      <c r="L166" t="str">
        <f t="shared" si="20"/>
        <v>Plat 3</v>
      </c>
      <c r="M166" s="8" t="str">
        <f t="shared" si="21"/>
        <v>3</v>
      </c>
      <c r="N166" t="s">
        <v>636</v>
      </c>
      <c r="O166" t="s">
        <v>637</v>
      </c>
    </row>
    <row r="167" spans="2:22" ht="15" customHeight="1" x14ac:dyDescent="0.25">
      <c r="B167" s="3" t="s">
        <v>472</v>
      </c>
      <c r="C167" s="1" t="s">
        <v>473</v>
      </c>
      <c r="D167" s="2" t="s">
        <v>636</v>
      </c>
      <c r="E167" s="1" t="s">
        <v>492</v>
      </c>
      <c r="F167" s="2" t="s">
        <v>635</v>
      </c>
      <c r="G167" s="1" t="s">
        <v>474</v>
      </c>
      <c r="H167" s="1" t="s">
        <v>3</v>
      </c>
      <c r="I167" t="str">
        <f t="shared" si="17"/>
        <v>1H</v>
      </c>
      <c r="J167" t="str">
        <f t="shared" si="18"/>
        <v xml:space="preserve">1312 </v>
      </c>
      <c r="K167" t="str">
        <f t="shared" si="19"/>
        <v xml:space="preserve">1316 </v>
      </c>
      <c r="L167" t="str">
        <f t="shared" si="20"/>
        <v>Plat 1</v>
      </c>
      <c r="M167" s="8" t="str">
        <f t="shared" si="21"/>
        <v>1</v>
      </c>
      <c r="N167" t="s">
        <v>635</v>
      </c>
    </row>
    <row r="168" spans="2:22" ht="15" customHeight="1" x14ac:dyDescent="0.25">
      <c r="B168" s="3" t="s">
        <v>475</v>
      </c>
      <c r="C168" s="1" t="s">
        <v>476</v>
      </c>
      <c r="D168" s="2" t="s">
        <v>635</v>
      </c>
      <c r="E168" s="1" t="s">
        <v>490</v>
      </c>
      <c r="F168" s="2" t="s">
        <v>636</v>
      </c>
      <c r="G168" s="1" t="s">
        <v>477</v>
      </c>
      <c r="H168" s="1" t="s">
        <v>3</v>
      </c>
      <c r="I168" t="str">
        <f t="shared" si="17"/>
        <v>1H</v>
      </c>
      <c r="J168" t="str">
        <f t="shared" si="18"/>
        <v xml:space="preserve">1317 </v>
      </c>
      <c r="K168" t="str">
        <f t="shared" si="19"/>
        <v xml:space="preserve">1321 </v>
      </c>
      <c r="L168" t="str">
        <f t="shared" si="20"/>
        <v>Plat 4</v>
      </c>
      <c r="M168" s="8" t="str">
        <f t="shared" si="21"/>
        <v>4</v>
      </c>
      <c r="N168" t="s">
        <v>636</v>
      </c>
    </row>
    <row r="169" spans="2:22" ht="15" customHeight="1" x14ac:dyDescent="0.25">
      <c r="B169" s="3" t="s">
        <v>478</v>
      </c>
      <c r="C169" s="1" t="s">
        <v>479</v>
      </c>
      <c r="D169" s="2" t="s">
        <v>637</v>
      </c>
      <c r="E169" s="1" t="s">
        <v>491</v>
      </c>
      <c r="F169" s="2" t="s">
        <v>635</v>
      </c>
      <c r="G169" s="1" t="s">
        <v>480</v>
      </c>
      <c r="H169" s="1" t="s">
        <v>3</v>
      </c>
      <c r="I169" t="str">
        <f t="shared" si="17"/>
        <v>1J</v>
      </c>
      <c r="J169" t="str">
        <f t="shared" si="18"/>
        <v xml:space="preserve">1319 </v>
      </c>
      <c r="K169" t="str">
        <f t="shared" si="19"/>
        <v xml:space="preserve">1323 </v>
      </c>
      <c r="L169" t="str">
        <f t="shared" si="20"/>
        <v>Plat 2</v>
      </c>
      <c r="M169" s="8" t="str">
        <f t="shared" si="21"/>
        <v>2</v>
      </c>
      <c r="N169" t="s">
        <v>635</v>
      </c>
    </row>
    <row r="170" spans="2:22" ht="15" customHeight="1" x14ac:dyDescent="0.25">
      <c r="B170" s="3" t="s">
        <v>481</v>
      </c>
      <c r="C170" s="1" t="s">
        <v>482</v>
      </c>
      <c r="D170" s="2" t="s">
        <v>635</v>
      </c>
      <c r="E170" s="1" t="s">
        <v>489</v>
      </c>
      <c r="F170" s="2" t="s">
        <v>19</v>
      </c>
      <c r="G170" s="1" t="s">
        <v>483</v>
      </c>
      <c r="H170" s="1" t="s">
        <v>3</v>
      </c>
      <c r="I170" t="str">
        <f t="shared" si="17"/>
        <v>1F</v>
      </c>
      <c r="J170" t="str">
        <f t="shared" si="18"/>
        <v xml:space="preserve">1324 </v>
      </c>
      <c r="K170" t="str">
        <f t="shared" si="19"/>
        <v xml:space="preserve">1328 </v>
      </c>
      <c r="L170" t="str">
        <f t="shared" si="20"/>
        <v>Plat 3</v>
      </c>
      <c r="M170" s="8" t="str">
        <f t="shared" si="21"/>
        <v>3</v>
      </c>
      <c r="N170" t="s">
        <v>636</v>
      </c>
      <c r="O170" t="s">
        <v>1028</v>
      </c>
      <c r="P170" t="s">
        <v>1029</v>
      </c>
      <c r="Q170" t="s">
        <v>1030</v>
      </c>
      <c r="R170" t="s">
        <v>1031</v>
      </c>
      <c r="S170" t="s">
        <v>1032</v>
      </c>
      <c r="T170" t="s">
        <v>1033</v>
      </c>
      <c r="U170" t="s">
        <v>1034</v>
      </c>
      <c r="V170" t="s">
        <v>19</v>
      </c>
    </row>
    <row r="171" spans="2:22" ht="15" customHeight="1" x14ac:dyDescent="0.25">
      <c r="B171" s="3" t="s">
        <v>484</v>
      </c>
      <c r="C171" s="1" t="s">
        <v>485</v>
      </c>
      <c r="D171" s="2" t="s">
        <v>636</v>
      </c>
      <c r="E171" s="1" t="s">
        <v>492</v>
      </c>
      <c r="F171" s="2" t="s">
        <v>635</v>
      </c>
      <c r="G171" s="1" t="s">
        <v>486</v>
      </c>
      <c r="H171" s="1" t="s">
        <v>3</v>
      </c>
      <c r="I171" t="str">
        <f t="shared" si="17"/>
        <v>1L</v>
      </c>
      <c r="J171" t="str">
        <f t="shared" si="18"/>
        <v xml:space="preserve">1326 </v>
      </c>
      <c r="K171" t="str">
        <f t="shared" si="19"/>
        <v xml:space="preserve">1330 </v>
      </c>
      <c r="L171" t="str">
        <f t="shared" si="20"/>
        <v>Plat 1</v>
      </c>
      <c r="M171" s="8" t="str">
        <f t="shared" si="21"/>
        <v>1</v>
      </c>
      <c r="N171" t="s">
        <v>635</v>
      </c>
    </row>
    <row r="172" spans="2:22" x14ac:dyDescent="0.25">
      <c r="B172" s="3" t="s">
        <v>493</v>
      </c>
      <c r="C172" s="1" t="s">
        <v>494</v>
      </c>
      <c r="D172" s="2" t="s">
        <v>635</v>
      </c>
      <c r="E172" s="1" t="s">
        <v>490</v>
      </c>
      <c r="F172" s="2" t="s">
        <v>636</v>
      </c>
      <c r="G172" s="1" t="s">
        <v>495</v>
      </c>
      <c r="H172" s="1" t="s">
        <v>3</v>
      </c>
      <c r="I172" t="str">
        <f t="shared" ref="I172:I235" si="22">LEFT(B172,2)</f>
        <v>1L</v>
      </c>
      <c r="J172" t="str">
        <f t="shared" ref="J172:J235" si="23">LEFT(C172,5)</f>
        <v xml:space="preserve">1331 </v>
      </c>
      <c r="K172" t="str">
        <f t="shared" ref="K172:K235" si="24">LEFT(G172,5)</f>
        <v xml:space="preserve">1335 </v>
      </c>
      <c r="L172" t="str">
        <f t="shared" ref="L172:L235" si="25">LEFT(E172,6)</f>
        <v>Plat 4</v>
      </c>
      <c r="M172" s="8" t="str">
        <f t="shared" si="21"/>
        <v>4</v>
      </c>
      <c r="N172" t="s">
        <v>636</v>
      </c>
    </row>
    <row r="173" spans="2:22" ht="15" customHeight="1" x14ac:dyDescent="0.25">
      <c r="B173" s="3" t="s">
        <v>496</v>
      </c>
      <c r="C173" s="1" t="s">
        <v>497</v>
      </c>
      <c r="D173" s="2" t="s">
        <v>636</v>
      </c>
      <c r="E173" s="1" t="s">
        <v>491</v>
      </c>
      <c r="F173" s="2" t="s">
        <v>635</v>
      </c>
      <c r="G173" s="1" t="s">
        <v>498</v>
      </c>
      <c r="H173" s="1" t="s">
        <v>3</v>
      </c>
      <c r="I173" t="str">
        <f t="shared" si="22"/>
        <v>1F</v>
      </c>
      <c r="J173" t="str">
        <f t="shared" si="23"/>
        <v xml:space="preserve">1333 </v>
      </c>
      <c r="K173" t="str">
        <f t="shared" si="24"/>
        <v xml:space="preserve">1337 </v>
      </c>
      <c r="L173" t="str">
        <f t="shared" si="25"/>
        <v>Plat 2</v>
      </c>
      <c r="M173" s="8" t="str">
        <f t="shared" si="21"/>
        <v>2</v>
      </c>
      <c r="N173" t="s">
        <v>635</v>
      </c>
    </row>
    <row r="174" spans="2:22" ht="15" customHeight="1" x14ac:dyDescent="0.25">
      <c r="B174" s="3" t="s">
        <v>499</v>
      </c>
      <c r="C174" s="1" t="s">
        <v>500</v>
      </c>
      <c r="D174" s="2" t="s">
        <v>635</v>
      </c>
      <c r="E174" s="1" t="s">
        <v>489</v>
      </c>
      <c r="F174" s="2" t="s">
        <v>636</v>
      </c>
      <c r="G174" s="1" t="s">
        <v>501</v>
      </c>
      <c r="H174" s="1" t="s">
        <v>3</v>
      </c>
      <c r="I174" t="str">
        <f t="shared" si="22"/>
        <v>1F</v>
      </c>
      <c r="J174" t="str">
        <f t="shared" si="23"/>
        <v xml:space="preserve">1338 </v>
      </c>
      <c r="K174" t="str">
        <f t="shared" si="24"/>
        <v xml:space="preserve">1342 </v>
      </c>
      <c r="L174" t="str">
        <f t="shared" si="25"/>
        <v>Plat 3</v>
      </c>
      <c r="M174" s="8" t="str">
        <f t="shared" si="21"/>
        <v>3</v>
      </c>
      <c r="N174" t="s">
        <v>636</v>
      </c>
    </row>
    <row r="175" spans="2:22" ht="15" customHeight="1" x14ac:dyDescent="0.25">
      <c r="B175" s="3" t="s">
        <v>502</v>
      </c>
      <c r="C175" s="1" t="s">
        <v>503</v>
      </c>
      <c r="D175" s="2" t="s">
        <v>637</v>
      </c>
      <c r="E175" s="1" t="s">
        <v>492</v>
      </c>
      <c r="F175" s="2" t="s">
        <v>635</v>
      </c>
      <c r="G175" s="1" t="s">
        <v>504</v>
      </c>
      <c r="H175" s="1" t="s">
        <v>3</v>
      </c>
      <c r="I175" t="str">
        <f t="shared" si="22"/>
        <v>1J</v>
      </c>
      <c r="J175" t="str">
        <f t="shared" si="23"/>
        <v>1344½</v>
      </c>
      <c r="K175" t="str">
        <f t="shared" si="24"/>
        <v>1348½</v>
      </c>
      <c r="L175" t="str">
        <f t="shared" si="25"/>
        <v>Plat 1</v>
      </c>
      <c r="M175" s="8" t="str">
        <f t="shared" si="21"/>
        <v>1</v>
      </c>
      <c r="N175" t="s">
        <v>635</v>
      </c>
    </row>
    <row r="176" spans="2:22" ht="15" customHeight="1" x14ac:dyDescent="0.25">
      <c r="B176" s="3" t="s">
        <v>14</v>
      </c>
      <c r="C176" s="1" t="s">
        <v>505</v>
      </c>
      <c r="D176" s="2" t="s">
        <v>635</v>
      </c>
      <c r="E176" s="1" t="s">
        <v>490</v>
      </c>
      <c r="F176" s="2" t="s">
        <v>637</v>
      </c>
      <c r="G176" s="1" t="s">
        <v>506</v>
      </c>
      <c r="H176" s="1" t="s">
        <v>3</v>
      </c>
      <c r="I176" t="str">
        <f t="shared" si="22"/>
        <v>1J</v>
      </c>
      <c r="J176" t="str">
        <f t="shared" si="23"/>
        <v xml:space="preserve">1345 </v>
      </c>
      <c r="K176" t="str">
        <f t="shared" si="24"/>
        <v xml:space="preserve">1349 </v>
      </c>
      <c r="L176" t="str">
        <f t="shared" si="25"/>
        <v>Plat 4</v>
      </c>
      <c r="M176" s="8" t="str">
        <f t="shared" si="21"/>
        <v>4</v>
      </c>
      <c r="N176" t="s">
        <v>636</v>
      </c>
      <c r="O176" t="s">
        <v>637</v>
      </c>
    </row>
    <row r="177" spans="2:22" ht="15" customHeight="1" x14ac:dyDescent="0.25">
      <c r="B177" s="3" t="s">
        <v>507</v>
      </c>
      <c r="C177" s="1" t="s">
        <v>508</v>
      </c>
      <c r="D177" s="2" t="s">
        <v>636</v>
      </c>
      <c r="E177" s="1" t="s">
        <v>491</v>
      </c>
      <c r="F177" s="2" t="s">
        <v>635</v>
      </c>
      <c r="G177" s="1" t="s">
        <v>509</v>
      </c>
      <c r="H177" s="1" t="s">
        <v>3</v>
      </c>
      <c r="I177" t="str">
        <f t="shared" si="22"/>
        <v>1H</v>
      </c>
      <c r="J177" t="str">
        <f t="shared" si="23"/>
        <v xml:space="preserve">1351 </v>
      </c>
      <c r="K177" t="str">
        <f t="shared" si="24"/>
        <v xml:space="preserve">1355 </v>
      </c>
      <c r="L177" t="str">
        <f t="shared" si="25"/>
        <v>Plat 2</v>
      </c>
      <c r="M177" s="8" t="str">
        <f t="shared" si="21"/>
        <v>2</v>
      </c>
      <c r="N177" t="s">
        <v>635</v>
      </c>
    </row>
    <row r="178" spans="2:22" ht="15" customHeight="1" x14ac:dyDescent="0.25">
      <c r="B178" s="3" t="s">
        <v>510</v>
      </c>
      <c r="C178" s="1" t="s">
        <v>511</v>
      </c>
      <c r="D178" s="2" t="s">
        <v>635</v>
      </c>
      <c r="E178" s="1" t="s">
        <v>489</v>
      </c>
      <c r="F178" s="2" t="s">
        <v>636</v>
      </c>
      <c r="G178" s="1" t="s">
        <v>512</v>
      </c>
      <c r="H178" s="1" t="s">
        <v>3</v>
      </c>
      <c r="I178" t="str">
        <f t="shared" si="22"/>
        <v>1L</v>
      </c>
      <c r="J178" t="str">
        <f t="shared" si="23"/>
        <v xml:space="preserve">1352 </v>
      </c>
      <c r="K178" t="str">
        <f t="shared" si="24"/>
        <v xml:space="preserve">1356 </v>
      </c>
      <c r="L178" t="str">
        <f t="shared" si="25"/>
        <v>Plat 3</v>
      </c>
      <c r="M178" s="8" t="str">
        <f t="shared" si="21"/>
        <v>3</v>
      </c>
      <c r="N178" t="s">
        <v>636</v>
      </c>
    </row>
    <row r="179" spans="2:22" ht="15" customHeight="1" x14ac:dyDescent="0.25">
      <c r="B179" s="3" t="s">
        <v>513</v>
      </c>
      <c r="C179" s="1" t="s">
        <v>514</v>
      </c>
      <c r="D179" s="2" t="s">
        <v>19</v>
      </c>
      <c r="E179" s="1" t="s">
        <v>492</v>
      </c>
      <c r="F179" s="2" t="s">
        <v>635</v>
      </c>
      <c r="G179" s="1" t="s">
        <v>515</v>
      </c>
      <c r="H179" s="1" t="s">
        <v>3</v>
      </c>
      <c r="I179" t="str">
        <f t="shared" si="22"/>
        <v>1F</v>
      </c>
      <c r="J179" t="str">
        <f t="shared" si="23"/>
        <v xml:space="preserve">1358 </v>
      </c>
      <c r="K179" t="str">
        <f t="shared" si="24"/>
        <v xml:space="preserve">1402 </v>
      </c>
      <c r="L179" t="str">
        <f t="shared" si="25"/>
        <v>Plat 1</v>
      </c>
      <c r="M179" s="8" t="str">
        <f t="shared" si="21"/>
        <v>1</v>
      </c>
      <c r="N179" t="s">
        <v>635</v>
      </c>
    </row>
    <row r="180" spans="2:22" ht="15" customHeight="1" x14ac:dyDescent="0.25">
      <c r="B180" s="3" t="s">
        <v>516</v>
      </c>
      <c r="C180" s="1" t="s">
        <v>517</v>
      </c>
      <c r="D180" s="2" t="s">
        <v>635</v>
      </c>
      <c r="E180" s="1" t="s">
        <v>490</v>
      </c>
      <c r="F180" s="2" t="s">
        <v>636</v>
      </c>
      <c r="G180" s="1" t="s">
        <v>518</v>
      </c>
      <c r="H180" s="1" t="s">
        <v>3</v>
      </c>
      <c r="I180" t="str">
        <f t="shared" si="22"/>
        <v>1H</v>
      </c>
      <c r="J180" t="str">
        <f t="shared" si="23"/>
        <v xml:space="preserve">1359 </v>
      </c>
      <c r="K180" t="str">
        <f t="shared" si="24"/>
        <v xml:space="preserve">1403 </v>
      </c>
      <c r="L180" t="str">
        <f t="shared" si="25"/>
        <v>Plat 4</v>
      </c>
      <c r="M180" s="8" t="str">
        <f t="shared" si="21"/>
        <v>4</v>
      </c>
      <c r="N180" t="s">
        <v>636</v>
      </c>
    </row>
    <row r="181" spans="2:22" ht="15" customHeight="1" x14ac:dyDescent="0.25">
      <c r="B181" s="3" t="s">
        <v>519</v>
      </c>
      <c r="C181" s="1" t="s">
        <v>520</v>
      </c>
      <c r="D181" s="2" t="s">
        <v>636</v>
      </c>
      <c r="E181" s="1" t="s">
        <v>491</v>
      </c>
      <c r="F181" s="2" t="s">
        <v>635</v>
      </c>
      <c r="G181" s="1" t="s">
        <v>521</v>
      </c>
      <c r="H181" s="1" t="s">
        <v>3</v>
      </c>
      <c r="I181" t="str">
        <f t="shared" si="22"/>
        <v>1L</v>
      </c>
      <c r="J181" t="str">
        <f t="shared" si="23"/>
        <v xml:space="preserve">1405 </v>
      </c>
      <c r="K181" t="str">
        <f t="shared" si="24"/>
        <v xml:space="preserve">1409 </v>
      </c>
      <c r="L181" t="str">
        <f t="shared" si="25"/>
        <v>Plat 2</v>
      </c>
      <c r="M181" s="8" t="str">
        <f t="shared" si="21"/>
        <v>2</v>
      </c>
      <c r="N181" t="s">
        <v>635</v>
      </c>
    </row>
    <row r="182" spans="2:22" ht="15" customHeight="1" x14ac:dyDescent="0.25">
      <c r="B182" s="3" t="s">
        <v>522</v>
      </c>
      <c r="C182" s="1" t="s">
        <v>523</v>
      </c>
      <c r="D182" s="2" t="s">
        <v>635</v>
      </c>
      <c r="E182" s="1" t="s">
        <v>489</v>
      </c>
      <c r="F182" s="2" t="s">
        <v>637</v>
      </c>
      <c r="G182" s="1" t="s">
        <v>524</v>
      </c>
      <c r="H182" s="1" t="s">
        <v>3</v>
      </c>
      <c r="I182" t="str">
        <f t="shared" si="22"/>
        <v>1J</v>
      </c>
      <c r="J182" t="str">
        <f t="shared" si="23"/>
        <v xml:space="preserve">1410 </v>
      </c>
      <c r="K182" t="str">
        <f t="shared" si="24"/>
        <v xml:space="preserve">1414 </v>
      </c>
      <c r="L182" t="str">
        <f t="shared" si="25"/>
        <v>Plat 3</v>
      </c>
      <c r="M182" s="8" t="str">
        <f t="shared" si="21"/>
        <v>3</v>
      </c>
      <c r="N182" t="s">
        <v>636</v>
      </c>
      <c r="O182" t="s">
        <v>637</v>
      </c>
    </row>
    <row r="183" spans="2:22" ht="15" customHeight="1" x14ac:dyDescent="0.25">
      <c r="B183" s="3" t="s">
        <v>525</v>
      </c>
      <c r="C183" s="1" t="s">
        <v>526</v>
      </c>
      <c r="D183" s="2" t="s">
        <v>636</v>
      </c>
      <c r="E183" s="1" t="s">
        <v>492</v>
      </c>
      <c r="F183" s="2" t="s">
        <v>635</v>
      </c>
      <c r="G183" s="1" t="s">
        <v>527</v>
      </c>
      <c r="H183" s="1" t="s">
        <v>3</v>
      </c>
      <c r="I183" t="str">
        <f t="shared" si="22"/>
        <v>1H</v>
      </c>
      <c r="J183" t="str">
        <f t="shared" si="23"/>
        <v xml:space="preserve">1412 </v>
      </c>
      <c r="K183" t="str">
        <f t="shared" si="24"/>
        <v xml:space="preserve">1416 </v>
      </c>
      <c r="L183" t="str">
        <f t="shared" si="25"/>
        <v>Plat 1</v>
      </c>
      <c r="M183" s="8" t="str">
        <f t="shared" si="21"/>
        <v>1</v>
      </c>
      <c r="N183" t="s">
        <v>635</v>
      </c>
    </row>
    <row r="184" spans="2:22" ht="15" customHeight="1" x14ac:dyDescent="0.25">
      <c r="B184" s="3" t="s">
        <v>528</v>
      </c>
      <c r="C184" s="1" t="s">
        <v>529</v>
      </c>
      <c r="D184" s="2" t="s">
        <v>635</v>
      </c>
      <c r="E184" s="1" t="s">
        <v>490</v>
      </c>
      <c r="F184" s="2" t="s">
        <v>636</v>
      </c>
      <c r="G184" s="1" t="s">
        <v>530</v>
      </c>
      <c r="H184" s="1" t="s">
        <v>3</v>
      </c>
      <c r="I184" t="str">
        <f t="shared" si="22"/>
        <v>1H</v>
      </c>
      <c r="J184" t="str">
        <f t="shared" si="23"/>
        <v xml:space="preserve">1417 </v>
      </c>
      <c r="K184" t="str">
        <f t="shared" si="24"/>
        <v xml:space="preserve">1421 </v>
      </c>
      <c r="L184" t="str">
        <f t="shared" si="25"/>
        <v>Plat 4</v>
      </c>
      <c r="M184" s="8" t="str">
        <f t="shared" si="21"/>
        <v>4</v>
      </c>
      <c r="N184" t="s">
        <v>636</v>
      </c>
    </row>
    <row r="185" spans="2:22" ht="15" customHeight="1" x14ac:dyDescent="0.25">
      <c r="B185" s="3" t="s">
        <v>531</v>
      </c>
      <c r="C185" s="1" t="s">
        <v>532</v>
      </c>
      <c r="D185" s="2" t="s">
        <v>637</v>
      </c>
      <c r="E185" s="1" t="s">
        <v>491</v>
      </c>
      <c r="F185" s="2" t="s">
        <v>635</v>
      </c>
      <c r="G185" s="1" t="s">
        <v>533</v>
      </c>
      <c r="H185" s="1" t="s">
        <v>3</v>
      </c>
      <c r="I185" t="str">
        <f t="shared" si="22"/>
        <v>1J</v>
      </c>
      <c r="J185" t="str">
        <f t="shared" si="23"/>
        <v xml:space="preserve">1419 </v>
      </c>
      <c r="K185" t="str">
        <f t="shared" si="24"/>
        <v xml:space="preserve">1423 </v>
      </c>
      <c r="L185" t="str">
        <f t="shared" si="25"/>
        <v>Plat 2</v>
      </c>
      <c r="M185" s="8" t="str">
        <f t="shared" si="21"/>
        <v>2</v>
      </c>
      <c r="N185" t="s">
        <v>635</v>
      </c>
    </row>
    <row r="186" spans="2:22" ht="15" customHeight="1" x14ac:dyDescent="0.25">
      <c r="B186" s="3" t="s">
        <v>534</v>
      </c>
      <c r="C186" s="1" t="s">
        <v>535</v>
      </c>
      <c r="D186" s="2" t="s">
        <v>635</v>
      </c>
      <c r="E186" s="1" t="s">
        <v>489</v>
      </c>
      <c r="F186" s="2" t="s">
        <v>19</v>
      </c>
      <c r="G186" s="1" t="s">
        <v>536</v>
      </c>
      <c r="H186" s="1" t="s">
        <v>3</v>
      </c>
      <c r="I186" t="str">
        <f t="shared" si="22"/>
        <v>1F</v>
      </c>
      <c r="J186" t="str">
        <f t="shared" si="23"/>
        <v xml:space="preserve">1424 </v>
      </c>
      <c r="K186" t="str">
        <f t="shared" si="24"/>
        <v xml:space="preserve">1428 </v>
      </c>
      <c r="L186" t="str">
        <f t="shared" si="25"/>
        <v>Plat 3</v>
      </c>
      <c r="M186" s="8" t="str">
        <f t="shared" si="21"/>
        <v>3</v>
      </c>
      <c r="N186" t="s">
        <v>636</v>
      </c>
      <c r="O186" t="s">
        <v>1028</v>
      </c>
      <c r="P186" t="s">
        <v>1029</v>
      </c>
      <c r="Q186" t="s">
        <v>1030</v>
      </c>
      <c r="R186" t="s">
        <v>1031</v>
      </c>
      <c r="S186" t="s">
        <v>1032</v>
      </c>
      <c r="T186" t="s">
        <v>1033</v>
      </c>
      <c r="U186" t="s">
        <v>1034</v>
      </c>
      <c r="V186" t="s">
        <v>19</v>
      </c>
    </row>
    <row r="187" spans="2:22" ht="15" customHeight="1" x14ac:dyDescent="0.25">
      <c r="B187" s="3" t="s">
        <v>537</v>
      </c>
      <c r="C187" s="1" t="s">
        <v>538</v>
      </c>
      <c r="D187" s="2" t="s">
        <v>636</v>
      </c>
      <c r="E187" s="1" t="s">
        <v>492</v>
      </c>
      <c r="F187" s="2" t="s">
        <v>635</v>
      </c>
      <c r="G187" s="1" t="s">
        <v>539</v>
      </c>
      <c r="H187" s="1" t="s">
        <v>3</v>
      </c>
      <c r="I187" t="str">
        <f t="shared" si="22"/>
        <v>1L</v>
      </c>
      <c r="J187" t="str">
        <f t="shared" si="23"/>
        <v xml:space="preserve">1426 </v>
      </c>
      <c r="K187" t="str">
        <f t="shared" si="24"/>
        <v xml:space="preserve">1430 </v>
      </c>
      <c r="L187" t="str">
        <f t="shared" si="25"/>
        <v>Plat 1</v>
      </c>
      <c r="M187" s="8" t="str">
        <f t="shared" si="21"/>
        <v>1</v>
      </c>
      <c r="N187" t="s">
        <v>635</v>
      </c>
    </row>
    <row r="188" spans="2:22" ht="15" customHeight="1" x14ac:dyDescent="0.25">
      <c r="B188" s="3" t="s">
        <v>540</v>
      </c>
      <c r="C188" s="1" t="s">
        <v>541</v>
      </c>
      <c r="D188" s="2" t="s">
        <v>635</v>
      </c>
      <c r="E188" s="1" t="s">
        <v>490</v>
      </c>
      <c r="F188" s="2" t="s">
        <v>636</v>
      </c>
      <c r="G188" s="1" t="s">
        <v>542</v>
      </c>
      <c r="H188" s="1" t="s">
        <v>3</v>
      </c>
      <c r="I188" t="str">
        <f t="shared" si="22"/>
        <v>1L</v>
      </c>
      <c r="J188" t="str">
        <f t="shared" si="23"/>
        <v xml:space="preserve">1431 </v>
      </c>
      <c r="K188" t="str">
        <f t="shared" si="24"/>
        <v xml:space="preserve">1435 </v>
      </c>
      <c r="L188" t="str">
        <f t="shared" si="25"/>
        <v>Plat 4</v>
      </c>
      <c r="M188" s="8" t="str">
        <f t="shared" si="21"/>
        <v>4</v>
      </c>
      <c r="N188" t="s">
        <v>636</v>
      </c>
    </row>
    <row r="189" spans="2:22" ht="15" customHeight="1" x14ac:dyDescent="0.25">
      <c r="B189" s="3" t="s">
        <v>543</v>
      </c>
      <c r="C189" s="1" t="s">
        <v>544</v>
      </c>
      <c r="D189" s="2" t="s">
        <v>636</v>
      </c>
      <c r="E189" s="1" t="s">
        <v>491</v>
      </c>
      <c r="F189" s="2" t="s">
        <v>635</v>
      </c>
      <c r="G189" s="1" t="s">
        <v>545</v>
      </c>
      <c r="H189" s="1" t="s">
        <v>3</v>
      </c>
      <c r="I189" t="str">
        <f t="shared" si="22"/>
        <v>1F</v>
      </c>
      <c r="J189" t="str">
        <f t="shared" si="23"/>
        <v xml:space="preserve">1433 </v>
      </c>
      <c r="K189" t="str">
        <f t="shared" si="24"/>
        <v xml:space="preserve">1437 </v>
      </c>
      <c r="L189" t="str">
        <f t="shared" si="25"/>
        <v>Plat 2</v>
      </c>
      <c r="M189" s="8" t="str">
        <f t="shared" si="21"/>
        <v>2</v>
      </c>
      <c r="N189" t="s">
        <v>635</v>
      </c>
    </row>
    <row r="190" spans="2:22" ht="15" customHeight="1" x14ac:dyDescent="0.25">
      <c r="B190" s="3" t="s">
        <v>546</v>
      </c>
      <c r="C190" s="1" t="s">
        <v>547</v>
      </c>
      <c r="D190" s="2" t="s">
        <v>635</v>
      </c>
      <c r="E190" s="1" t="s">
        <v>489</v>
      </c>
      <c r="F190" s="2" t="s">
        <v>636</v>
      </c>
      <c r="G190" s="1" t="s">
        <v>548</v>
      </c>
      <c r="H190" s="1" t="s">
        <v>3</v>
      </c>
      <c r="I190" t="str">
        <f t="shared" si="22"/>
        <v>1F</v>
      </c>
      <c r="J190" t="str">
        <f t="shared" si="23"/>
        <v xml:space="preserve">1438 </v>
      </c>
      <c r="K190" t="str">
        <f t="shared" si="24"/>
        <v xml:space="preserve">1442 </v>
      </c>
      <c r="L190" t="str">
        <f t="shared" si="25"/>
        <v>Plat 3</v>
      </c>
      <c r="M190" s="8" t="str">
        <f t="shared" si="21"/>
        <v>3</v>
      </c>
      <c r="N190" t="s">
        <v>636</v>
      </c>
    </row>
    <row r="191" spans="2:22" ht="15" customHeight="1" x14ac:dyDescent="0.25">
      <c r="B191" s="3" t="s">
        <v>549</v>
      </c>
      <c r="C191" s="1" t="s">
        <v>550</v>
      </c>
      <c r="D191" s="2" t="s">
        <v>637</v>
      </c>
      <c r="E191" s="1" t="s">
        <v>492</v>
      </c>
      <c r="F191" s="2" t="s">
        <v>635</v>
      </c>
      <c r="G191" s="1" t="s">
        <v>551</v>
      </c>
      <c r="H191" s="1" t="s">
        <v>3</v>
      </c>
      <c r="I191" t="str">
        <f t="shared" si="22"/>
        <v>1J</v>
      </c>
      <c r="J191" t="str">
        <f t="shared" si="23"/>
        <v>1444½</v>
      </c>
      <c r="K191" t="str">
        <f t="shared" si="24"/>
        <v>1448½</v>
      </c>
      <c r="L191" t="str">
        <f t="shared" si="25"/>
        <v>Plat 1</v>
      </c>
      <c r="M191" s="8" t="str">
        <f t="shared" si="21"/>
        <v>1</v>
      </c>
      <c r="N191" t="s">
        <v>635</v>
      </c>
    </row>
    <row r="192" spans="2:22" ht="15" customHeight="1" x14ac:dyDescent="0.25">
      <c r="B192" s="3" t="s">
        <v>552</v>
      </c>
      <c r="C192" s="1" t="s">
        <v>553</v>
      </c>
      <c r="D192" s="2" t="s">
        <v>635</v>
      </c>
      <c r="E192" s="1" t="s">
        <v>490</v>
      </c>
      <c r="F192" s="2" t="s">
        <v>637</v>
      </c>
      <c r="G192" s="1" t="s">
        <v>554</v>
      </c>
      <c r="H192" s="1" t="s">
        <v>3</v>
      </c>
      <c r="I192" t="str">
        <f t="shared" si="22"/>
        <v>1J</v>
      </c>
      <c r="J192" t="str">
        <f t="shared" si="23"/>
        <v xml:space="preserve">1445 </v>
      </c>
      <c r="K192" t="str">
        <f t="shared" si="24"/>
        <v xml:space="preserve">1449 </v>
      </c>
      <c r="L192" t="str">
        <f t="shared" si="25"/>
        <v>Plat 4</v>
      </c>
      <c r="M192" s="8" t="str">
        <f t="shared" si="21"/>
        <v>4</v>
      </c>
      <c r="N192" t="s">
        <v>636</v>
      </c>
      <c r="O192" t="s">
        <v>637</v>
      </c>
    </row>
    <row r="193" spans="2:22" ht="15" customHeight="1" x14ac:dyDescent="0.25">
      <c r="B193" s="3" t="s">
        <v>555</v>
      </c>
      <c r="C193" s="1" t="s">
        <v>556</v>
      </c>
      <c r="D193" s="2" t="s">
        <v>636</v>
      </c>
      <c r="E193" s="1" t="s">
        <v>491</v>
      </c>
      <c r="F193" s="2" t="s">
        <v>635</v>
      </c>
      <c r="G193" s="1" t="s">
        <v>557</v>
      </c>
      <c r="H193" s="1" t="s">
        <v>3</v>
      </c>
      <c r="I193" t="str">
        <f t="shared" si="22"/>
        <v>1H</v>
      </c>
      <c r="J193" t="str">
        <f t="shared" si="23"/>
        <v xml:space="preserve">1451 </v>
      </c>
      <c r="K193" t="str">
        <f t="shared" si="24"/>
        <v xml:space="preserve">1455 </v>
      </c>
      <c r="L193" t="str">
        <f t="shared" si="25"/>
        <v>Plat 2</v>
      </c>
      <c r="M193" s="8" t="str">
        <f t="shared" si="21"/>
        <v>2</v>
      </c>
      <c r="N193" t="s">
        <v>635</v>
      </c>
    </row>
    <row r="194" spans="2:22" ht="15" customHeight="1" x14ac:dyDescent="0.25">
      <c r="B194" s="3" t="s">
        <v>558</v>
      </c>
      <c r="C194" s="1" t="s">
        <v>559</v>
      </c>
      <c r="D194" s="2" t="s">
        <v>635</v>
      </c>
      <c r="E194" s="1" t="s">
        <v>489</v>
      </c>
      <c r="F194" s="2" t="s">
        <v>636</v>
      </c>
      <c r="G194" s="1" t="s">
        <v>560</v>
      </c>
      <c r="H194" s="1" t="s">
        <v>3</v>
      </c>
      <c r="I194" t="str">
        <f t="shared" si="22"/>
        <v>1L</v>
      </c>
      <c r="J194" t="str">
        <f t="shared" si="23"/>
        <v xml:space="preserve">1452 </v>
      </c>
      <c r="K194" t="str">
        <f t="shared" si="24"/>
        <v xml:space="preserve">1456 </v>
      </c>
      <c r="L194" t="str">
        <f t="shared" si="25"/>
        <v>Plat 3</v>
      </c>
      <c r="M194" s="8" t="str">
        <f t="shared" si="21"/>
        <v>3</v>
      </c>
      <c r="N194" t="s">
        <v>636</v>
      </c>
    </row>
    <row r="195" spans="2:22" ht="15" customHeight="1" x14ac:dyDescent="0.25">
      <c r="B195" s="3" t="s">
        <v>561</v>
      </c>
      <c r="C195" s="1" t="s">
        <v>562</v>
      </c>
      <c r="D195" s="2" t="s">
        <v>19</v>
      </c>
      <c r="E195" s="1" t="s">
        <v>492</v>
      </c>
      <c r="F195" s="2" t="s">
        <v>635</v>
      </c>
      <c r="G195" s="1" t="s">
        <v>563</v>
      </c>
      <c r="H195" s="1" t="s">
        <v>3</v>
      </c>
      <c r="I195" t="str">
        <f t="shared" si="22"/>
        <v>1F</v>
      </c>
      <c r="J195" t="str">
        <f t="shared" si="23"/>
        <v xml:space="preserve">1458 </v>
      </c>
      <c r="K195" t="str">
        <f t="shared" si="24"/>
        <v xml:space="preserve">1502 </v>
      </c>
      <c r="L195" t="str">
        <f t="shared" si="25"/>
        <v>Plat 1</v>
      </c>
      <c r="M195" s="8" t="str">
        <f t="shared" ref="M195:M258" si="26">RIGHT(L195,1)</f>
        <v>1</v>
      </c>
      <c r="N195" t="s">
        <v>635</v>
      </c>
    </row>
    <row r="196" spans="2:22" ht="15" customHeight="1" x14ac:dyDescent="0.25">
      <c r="B196" s="3" t="s">
        <v>564</v>
      </c>
      <c r="C196" s="1" t="s">
        <v>565</v>
      </c>
      <c r="D196" s="2" t="s">
        <v>635</v>
      </c>
      <c r="E196" s="1" t="s">
        <v>490</v>
      </c>
      <c r="F196" s="2" t="s">
        <v>636</v>
      </c>
      <c r="G196" s="1" t="s">
        <v>566</v>
      </c>
      <c r="H196" s="1" t="s">
        <v>3</v>
      </c>
      <c r="I196" t="str">
        <f t="shared" si="22"/>
        <v>1H</v>
      </c>
      <c r="J196" t="str">
        <f t="shared" si="23"/>
        <v xml:space="preserve">1459 </v>
      </c>
      <c r="K196" t="str">
        <f t="shared" si="24"/>
        <v xml:space="preserve">1503 </v>
      </c>
      <c r="L196" t="str">
        <f t="shared" si="25"/>
        <v>Plat 4</v>
      </c>
      <c r="M196" s="8" t="str">
        <f t="shared" si="26"/>
        <v>4</v>
      </c>
      <c r="N196" t="s">
        <v>636</v>
      </c>
    </row>
    <row r="197" spans="2:22" ht="15" customHeight="1" x14ac:dyDescent="0.25">
      <c r="B197" s="3" t="s">
        <v>567</v>
      </c>
      <c r="C197" s="1" t="s">
        <v>568</v>
      </c>
      <c r="D197" s="2" t="s">
        <v>636</v>
      </c>
      <c r="E197" s="1" t="s">
        <v>491</v>
      </c>
      <c r="F197" s="2" t="s">
        <v>635</v>
      </c>
      <c r="G197" s="1" t="s">
        <v>569</v>
      </c>
      <c r="H197" s="1" t="s">
        <v>3</v>
      </c>
      <c r="I197" t="str">
        <f t="shared" si="22"/>
        <v>1L</v>
      </c>
      <c r="J197" t="str">
        <f t="shared" si="23"/>
        <v xml:space="preserve">1505 </v>
      </c>
      <c r="K197" t="str">
        <f t="shared" si="24"/>
        <v xml:space="preserve">1509 </v>
      </c>
      <c r="L197" t="str">
        <f t="shared" si="25"/>
        <v>Plat 2</v>
      </c>
      <c r="M197" s="8" t="str">
        <f t="shared" si="26"/>
        <v>2</v>
      </c>
      <c r="N197" t="s">
        <v>635</v>
      </c>
    </row>
    <row r="198" spans="2:22" ht="15" customHeight="1" x14ac:dyDescent="0.25">
      <c r="B198" s="3" t="s">
        <v>570</v>
      </c>
      <c r="C198" s="1" t="s">
        <v>571</v>
      </c>
      <c r="D198" s="2" t="s">
        <v>635</v>
      </c>
      <c r="E198" s="1" t="s">
        <v>489</v>
      </c>
      <c r="F198" s="2" t="s">
        <v>637</v>
      </c>
      <c r="G198" s="1" t="s">
        <v>572</v>
      </c>
      <c r="H198" s="1" t="s">
        <v>3</v>
      </c>
      <c r="I198" t="str">
        <f t="shared" si="22"/>
        <v>1J</v>
      </c>
      <c r="J198" t="str">
        <f t="shared" si="23"/>
        <v xml:space="preserve">1510 </v>
      </c>
      <c r="K198" t="str">
        <f t="shared" si="24"/>
        <v xml:space="preserve">1514 </v>
      </c>
      <c r="L198" t="str">
        <f t="shared" si="25"/>
        <v>Plat 3</v>
      </c>
      <c r="M198" s="8" t="str">
        <f t="shared" si="26"/>
        <v>3</v>
      </c>
      <c r="N198" t="s">
        <v>636</v>
      </c>
      <c r="O198" t="s">
        <v>637</v>
      </c>
    </row>
    <row r="199" spans="2:22" ht="15" customHeight="1" x14ac:dyDescent="0.25">
      <c r="B199" s="3" t="s">
        <v>573</v>
      </c>
      <c r="C199" s="1" t="s">
        <v>574</v>
      </c>
      <c r="D199" s="2" t="s">
        <v>636</v>
      </c>
      <c r="E199" s="1" t="s">
        <v>492</v>
      </c>
      <c r="F199" s="2" t="s">
        <v>635</v>
      </c>
      <c r="G199" s="1" t="s">
        <v>575</v>
      </c>
      <c r="H199" s="1" t="s">
        <v>3</v>
      </c>
      <c r="I199" t="str">
        <f t="shared" si="22"/>
        <v>1H</v>
      </c>
      <c r="J199" t="str">
        <f t="shared" si="23"/>
        <v xml:space="preserve">1512 </v>
      </c>
      <c r="K199" t="str">
        <f t="shared" si="24"/>
        <v xml:space="preserve">1516 </v>
      </c>
      <c r="L199" t="str">
        <f t="shared" si="25"/>
        <v>Plat 1</v>
      </c>
      <c r="M199" s="8" t="str">
        <f t="shared" si="26"/>
        <v>1</v>
      </c>
      <c r="N199" t="s">
        <v>635</v>
      </c>
    </row>
    <row r="200" spans="2:22" ht="15" customHeight="1" x14ac:dyDescent="0.25">
      <c r="B200" s="3" t="s">
        <v>576</v>
      </c>
      <c r="C200" s="1" t="s">
        <v>577</v>
      </c>
      <c r="D200" s="2" t="s">
        <v>635</v>
      </c>
      <c r="E200" s="1" t="s">
        <v>490</v>
      </c>
      <c r="F200" s="2" t="s">
        <v>636</v>
      </c>
      <c r="G200" s="1" t="s">
        <v>578</v>
      </c>
      <c r="H200" s="1" t="s">
        <v>3</v>
      </c>
      <c r="I200" t="str">
        <f t="shared" si="22"/>
        <v>1H</v>
      </c>
      <c r="J200" t="str">
        <f t="shared" si="23"/>
        <v xml:space="preserve">1517 </v>
      </c>
      <c r="K200" t="str">
        <f t="shared" si="24"/>
        <v xml:space="preserve">1521 </v>
      </c>
      <c r="L200" t="str">
        <f t="shared" si="25"/>
        <v>Plat 4</v>
      </c>
      <c r="M200" s="8" t="str">
        <f t="shared" si="26"/>
        <v>4</v>
      </c>
      <c r="N200" t="s">
        <v>636</v>
      </c>
    </row>
    <row r="201" spans="2:22" ht="15" customHeight="1" x14ac:dyDescent="0.25">
      <c r="B201" s="3" t="s">
        <v>579</v>
      </c>
      <c r="C201" s="1" t="s">
        <v>580</v>
      </c>
      <c r="D201" s="2" t="s">
        <v>637</v>
      </c>
      <c r="E201" s="1" t="s">
        <v>491</v>
      </c>
      <c r="F201" s="2" t="s">
        <v>635</v>
      </c>
      <c r="G201" s="1" t="s">
        <v>581</v>
      </c>
      <c r="H201" s="1" t="s">
        <v>3</v>
      </c>
      <c r="I201" t="str">
        <f t="shared" si="22"/>
        <v>1J</v>
      </c>
      <c r="J201" t="str">
        <f t="shared" si="23"/>
        <v xml:space="preserve">1519 </v>
      </c>
      <c r="K201" t="str">
        <f t="shared" si="24"/>
        <v xml:space="preserve">1523 </v>
      </c>
      <c r="L201" t="str">
        <f t="shared" si="25"/>
        <v>Plat 2</v>
      </c>
      <c r="M201" s="8" t="str">
        <f t="shared" si="26"/>
        <v>2</v>
      </c>
      <c r="N201" t="s">
        <v>635</v>
      </c>
    </row>
    <row r="202" spans="2:22" ht="15" customHeight="1" x14ac:dyDescent="0.25">
      <c r="B202" s="3" t="s">
        <v>582</v>
      </c>
      <c r="C202" s="1" t="s">
        <v>583</v>
      </c>
      <c r="D202" s="2" t="s">
        <v>635</v>
      </c>
      <c r="E202" s="1" t="s">
        <v>489</v>
      </c>
      <c r="F202" s="2" t="s">
        <v>19</v>
      </c>
      <c r="G202" s="1" t="s">
        <v>584</v>
      </c>
      <c r="H202" s="1" t="s">
        <v>3</v>
      </c>
      <c r="I202" t="str">
        <f t="shared" si="22"/>
        <v>1F</v>
      </c>
      <c r="J202" t="str">
        <f t="shared" si="23"/>
        <v xml:space="preserve">1524 </v>
      </c>
      <c r="K202" t="str">
        <f t="shared" si="24"/>
        <v xml:space="preserve">1528 </v>
      </c>
      <c r="L202" t="str">
        <f t="shared" si="25"/>
        <v>Plat 3</v>
      </c>
      <c r="M202" s="8" t="str">
        <f t="shared" si="26"/>
        <v>3</v>
      </c>
      <c r="N202" t="s">
        <v>636</v>
      </c>
      <c r="O202" t="s">
        <v>1028</v>
      </c>
      <c r="P202" t="s">
        <v>1029</v>
      </c>
      <c r="Q202" t="s">
        <v>1030</v>
      </c>
      <c r="R202" t="s">
        <v>1031</v>
      </c>
      <c r="S202" t="s">
        <v>1032</v>
      </c>
      <c r="T202" t="s">
        <v>1033</v>
      </c>
      <c r="U202" t="s">
        <v>1034</v>
      </c>
      <c r="V202" t="s">
        <v>19</v>
      </c>
    </row>
    <row r="203" spans="2:22" ht="15" customHeight="1" x14ac:dyDescent="0.25">
      <c r="B203" s="3" t="s">
        <v>585</v>
      </c>
      <c r="C203" s="1" t="s">
        <v>586</v>
      </c>
      <c r="D203" s="2" t="s">
        <v>636</v>
      </c>
      <c r="E203" s="1" t="s">
        <v>492</v>
      </c>
      <c r="F203" s="2" t="s">
        <v>635</v>
      </c>
      <c r="G203" s="1" t="s">
        <v>587</v>
      </c>
      <c r="H203" s="1" t="s">
        <v>3</v>
      </c>
      <c r="I203" t="str">
        <f t="shared" si="22"/>
        <v>1L</v>
      </c>
      <c r="J203" t="str">
        <f t="shared" si="23"/>
        <v xml:space="preserve">1526 </v>
      </c>
      <c r="K203" t="str">
        <f t="shared" si="24"/>
        <v xml:space="preserve">1530 </v>
      </c>
      <c r="L203" t="str">
        <f t="shared" si="25"/>
        <v>Plat 1</v>
      </c>
      <c r="M203" s="8" t="str">
        <f t="shared" si="26"/>
        <v>1</v>
      </c>
      <c r="N203" t="s">
        <v>635</v>
      </c>
    </row>
    <row r="204" spans="2:22" ht="15" customHeight="1" x14ac:dyDescent="0.25">
      <c r="B204" s="3" t="s">
        <v>588</v>
      </c>
      <c r="C204" s="1" t="s">
        <v>589</v>
      </c>
      <c r="D204" s="2" t="s">
        <v>635</v>
      </c>
      <c r="E204" s="1" t="s">
        <v>490</v>
      </c>
      <c r="F204" s="2" t="s">
        <v>636</v>
      </c>
      <c r="G204" s="1" t="s">
        <v>590</v>
      </c>
      <c r="H204" s="1" t="s">
        <v>3</v>
      </c>
      <c r="I204" t="str">
        <f t="shared" si="22"/>
        <v>1L</v>
      </c>
      <c r="J204" t="str">
        <f t="shared" si="23"/>
        <v xml:space="preserve">1531 </v>
      </c>
      <c r="K204" t="str">
        <f t="shared" si="24"/>
        <v xml:space="preserve">1535 </v>
      </c>
      <c r="L204" t="str">
        <f t="shared" si="25"/>
        <v>Plat 4</v>
      </c>
      <c r="M204" s="8" t="str">
        <f t="shared" si="26"/>
        <v>4</v>
      </c>
      <c r="N204" t="s">
        <v>636</v>
      </c>
    </row>
    <row r="205" spans="2:22" ht="15" customHeight="1" x14ac:dyDescent="0.25">
      <c r="B205" s="3" t="s">
        <v>591</v>
      </c>
      <c r="C205" s="1" t="s">
        <v>592</v>
      </c>
      <c r="D205" s="2" t="s">
        <v>636</v>
      </c>
      <c r="E205" s="1" t="s">
        <v>491</v>
      </c>
      <c r="F205" s="2" t="s">
        <v>635</v>
      </c>
      <c r="G205" s="1" t="s">
        <v>593</v>
      </c>
      <c r="H205" s="1" t="s">
        <v>3</v>
      </c>
      <c r="I205" t="str">
        <f t="shared" si="22"/>
        <v>1F</v>
      </c>
      <c r="J205" t="str">
        <f t="shared" si="23"/>
        <v xml:space="preserve">1533 </v>
      </c>
      <c r="K205" t="str">
        <f t="shared" si="24"/>
        <v xml:space="preserve">1537 </v>
      </c>
      <c r="L205" t="str">
        <f t="shared" si="25"/>
        <v>Plat 2</v>
      </c>
      <c r="M205" s="8" t="str">
        <f t="shared" si="26"/>
        <v>2</v>
      </c>
      <c r="N205" t="s">
        <v>635</v>
      </c>
    </row>
    <row r="206" spans="2:22" ht="15" customHeight="1" x14ac:dyDescent="0.25">
      <c r="B206" s="3" t="s">
        <v>594</v>
      </c>
      <c r="C206" s="1" t="s">
        <v>595</v>
      </c>
      <c r="D206" s="2" t="s">
        <v>635</v>
      </c>
      <c r="E206" s="1" t="s">
        <v>489</v>
      </c>
      <c r="F206" s="2" t="s">
        <v>636</v>
      </c>
      <c r="G206" s="1" t="s">
        <v>596</v>
      </c>
      <c r="H206" s="1" t="s">
        <v>3</v>
      </c>
      <c r="I206" t="str">
        <f t="shared" si="22"/>
        <v>1F</v>
      </c>
      <c r="J206" t="str">
        <f t="shared" si="23"/>
        <v xml:space="preserve">1538 </v>
      </c>
      <c r="K206" t="str">
        <f t="shared" si="24"/>
        <v xml:space="preserve">1542 </v>
      </c>
      <c r="L206" t="str">
        <f t="shared" si="25"/>
        <v>Plat 3</v>
      </c>
      <c r="M206" s="8" t="str">
        <f t="shared" si="26"/>
        <v>3</v>
      </c>
      <c r="N206" t="s">
        <v>636</v>
      </c>
    </row>
    <row r="207" spans="2:22" ht="15" customHeight="1" x14ac:dyDescent="0.25">
      <c r="B207" s="3" t="s">
        <v>597</v>
      </c>
      <c r="C207" s="1" t="s">
        <v>598</v>
      </c>
      <c r="D207" s="2" t="s">
        <v>637</v>
      </c>
      <c r="E207" s="1" t="s">
        <v>492</v>
      </c>
      <c r="F207" s="2" t="s">
        <v>635</v>
      </c>
      <c r="G207" s="1" t="s">
        <v>599</v>
      </c>
      <c r="H207" s="1" t="s">
        <v>3</v>
      </c>
      <c r="I207" t="str">
        <f t="shared" si="22"/>
        <v>1J</v>
      </c>
      <c r="J207" t="str">
        <f t="shared" si="23"/>
        <v>1544½</v>
      </c>
      <c r="K207" t="str">
        <f t="shared" si="24"/>
        <v>1548½</v>
      </c>
      <c r="L207" t="str">
        <f t="shared" si="25"/>
        <v>Plat 1</v>
      </c>
      <c r="M207" s="8" t="str">
        <f t="shared" si="26"/>
        <v>1</v>
      </c>
      <c r="N207" t="s">
        <v>635</v>
      </c>
    </row>
    <row r="208" spans="2:22" ht="15" customHeight="1" x14ac:dyDescent="0.25">
      <c r="B208" s="3" t="s">
        <v>600</v>
      </c>
      <c r="C208" s="1" t="s">
        <v>601</v>
      </c>
      <c r="D208" s="2" t="s">
        <v>635</v>
      </c>
      <c r="E208" s="1" t="s">
        <v>490</v>
      </c>
      <c r="F208" s="2" t="s">
        <v>637</v>
      </c>
      <c r="G208" s="1" t="s">
        <v>602</v>
      </c>
      <c r="H208" s="1" t="s">
        <v>3</v>
      </c>
      <c r="I208" t="str">
        <f t="shared" si="22"/>
        <v>1J</v>
      </c>
      <c r="J208" t="str">
        <f t="shared" si="23"/>
        <v xml:space="preserve">1545 </v>
      </c>
      <c r="K208" t="str">
        <f t="shared" si="24"/>
        <v xml:space="preserve">1549 </v>
      </c>
      <c r="L208" t="str">
        <f t="shared" si="25"/>
        <v>Plat 4</v>
      </c>
      <c r="M208" s="8" t="str">
        <f t="shared" si="26"/>
        <v>4</v>
      </c>
      <c r="N208" t="s">
        <v>636</v>
      </c>
      <c r="O208" t="s">
        <v>637</v>
      </c>
    </row>
    <row r="209" spans="2:22" ht="15" customHeight="1" x14ac:dyDescent="0.25">
      <c r="B209" s="3" t="s">
        <v>603</v>
      </c>
      <c r="C209" s="1" t="s">
        <v>604</v>
      </c>
      <c r="D209" s="2" t="s">
        <v>636</v>
      </c>
      <c r="E209" s="1" t="s">
        <v>491</v>
      </c>
      <c r="F209" s="2" t="s">
        <v>635</v>
      </c>
      <c r="G209" s="1" t="s">
        <v>605</v>
      </c>
      <c r="H209" s="1" t="s">
        <v>3</v>
      </c>
      <c r="I209" t="str">
        <f t="shared" si="22"/>
        <v>1H</v>
      </c>
      <c r="J209" t="str">
        <f t="shared" si="23"/>
        <v xml:space="preserve">1550 </v>
      </c>
      <c r="K209" t="str">
        <f t="shared" si="24"/>
        <v xml:space="preserve">1555 </v>
      </c>
      <c r="L209" t="str">
        <f t="shared" si="25"/>
        <v>Plat 2</v>
      </c>
      <c r="M209" s="8" t="str">
        <f t="shared" si="26"/>
        <v>2</v>
      </c>
      <c r="N209" t="s">
        <v>635</v>
      </c>
    </row>
    <row r="210" spans="2:22" ht="15" customHeight="1" x14ac:dyDescent="0.25">
      <c r="B210" s="3" t="s">
        <v>606</v>
      </c>
      <c r="C210" s="1" t="s">
        <v>607</v>
      </c>
      <c r="D210" s="2" t="s">
        <v>635</v>
      </c>
      <c r="E210" s="1" t="s">
        <v>489</v>
      </c>
      <c r="F210" s="2" t="s">
        <v>636</v>
      </c>
      <c r="G210" s="1" t="s">
        <v>608</v>
      </c>
      <c r="H210" s="1" t="s">
        <v>3</v>
      </c>
      <c r="I210" t="str">
        <f t="shared" si="22"/>
        <v>1L</v>
      </c>
      <c r="J210" t="str">
        <f t="shared" si="23"/>
        <v xml:space="preserve">1552 </v>
      </c>
      <c r="K210" t="str">
        <f t="shared" si="24"/>
        <v xml:space="preserve">1556 </v>
      </c>
      <c r="L210" t="str">
        <f t="shared" si="25"/>
        <v>Plat 3</v>
      </c>
      <c r="M210" s="8" t="str">
        <f t="shared" si="26"/>
        <v>3</v>
      </c>
      <c r="N210" t="s">
        <v>636</v>
      </c>
    </row>
    <row r="211" spans="2:22" ht="15" customHeight="1" x14ac:dyDescent="0.25">
      <c r="B211" s="3" t="s">
        <v>609</v>
      </c>
      <c r="C211" s="1" t="s">
        <v>610</v>
      </c>
      <c r="D211" s="2" t="s">
        <v>19</v>
      </c>
      <c r="E211" s="1" t="s">
        <v>492</v>
      </c>
      <c r="F211" s="2" t="s">
        <v>635</v>
      </c>
      <c r="G211" s="1" t="s">
        <v>611</v>
      </c>
      <c r="H211" s="1" t="s">
        <v>3</v>
      </c>
      <c r="I211" t="str">
        <f t="shared" si="22"/>
        <v>1F</v>
      </c>
      <c r="J211" t="str">
        <f t="shared" si="23"/>
        <v xml:space="preserve">1558 </v>
      </c>
      <c r="K211" t="str">
        <f t="shared" si="24"/>
        <v xml:space="preserve">1602 </v>
      </c>
      <c r="L211" t="str">
        <f t="shared" si="25"/>
        <v>Plat 1</v>
      </c>
      <c r="M211" s="8" t="str">
        <f t="shared" si="26"/>
        <v>1</v>
      </c>
      <c r="N211" t="s">
        <v>635</v>
      </c>
    </row>
    <row r="212" spans="2:22" ht="15" customHeight="1" x14ac:dyDescent="0.25">
      <c r="B212" s="3" t="s">
        <v>612</v>
      </c>
      <c r="C212" s="1" t="s">
        <v>613</v>
      </c>
      <c r="D212" s="2" t="s">
        <v>635</v>
      </c>
      <c r="E212" s="1" t="s">
        <v>490</v>
      </c>
      <c r="F212" s="2" t="s">
        <v>636</v>
      </c>
      <c r="G212" s="1" t="s">
        <v>614</v>
      </c>
      <c r="H212" s="1" t="s">
        <v>3</v>
      </c>
      <c r="I212" t="str">
        <f t="shared" si="22"/>
        <v>1H</v>
      </c>
      <c r="J212" t="str">
        <f t="shared" si="23"/>
        <v xml:space="preserve">1559 </v>
      </c>
      <c r="K212" t="str">
        <f t="shared" si="24"/>
        <v xml:space="preserve">1603 </v>
      </c>
      <c r="L212" t="str">
        <f t="shared" si="25"/>
        <v>Plat 4</v>
      </c>
      <c r="M212" s="8" t="str">
        <f t="shared" si="26"/>
        <v>4</v>
      </c>
      <c r="N212" t="s">
        <v>636</v>
      </c>
    </row>
    <row r="213" spans="2:22" ht="15" customHeight="1" x14ac:dyDescent="0.25">
      <c r="B213" s="3" t="s">
        <v>615</v>
      </c>
      <c r="C213" s="1" t="s">
        <v>616</v>
      </c>
      <c r="D213" s="2" t="s">
        <v>636</v>
      </c>
      <c r="E213" s="1" t="s">
        <v>491</v>
      </c>
      <c r="F213" s="2" t="s">
        <v>635</v>
      </c>
      <c r="G213" s="1" t="s">
        <v>617</v>
      </c>
      <c r="H213" s="1" t="s">
        <v>3</v>
      </c>
      <c r="I213" t="str">
        <f t="shared" si="22"/>
        <v>1L</v>
      </c>
      <c r="J213" t="str">
        <f t="shared" si="23"/>
        <v xml:space="preserve">1605 </v>
      </c>
      <c r="K213" t="str">
        <f t="shared" si="24"/>
        <v xml:space="preserve">1610 </v>
      </c>
      <c r="L213" t="str">
        <f t="shared" si="25"/>
        <v>Plat 2</v>
      </c>
      <c r="M213" s="8" t="str">
        <f t="shared" si="26"/>
        <v>2</v>
      </c>
      <c r="N213" t="s">
        <v>635</v>
      </c>
    </row>
    <row r="214" spans="2:22" ht="15" customHeight="1" x14ac:dyDescent="0.25">
      <c r="B214" s="3" t="s">
        <v>618</v>
      </c>
      <c r="C214" s="1" t="s">
        <v>617</v>
      </c>
      <c r="D214" s="2" t="s">
        <v>635</v>
      </c>
      <c r="E214" s="1" t="s">
        <v>489</v>
      </c>
      <c r="F214" s="2" t="s">
        <v>637</v>
      </c>
      <c r="G214" s="1" t="s">
        <v>619</v>
      </c>
      <c r="H214" s="1" t="s">
        <v>3</v>
      </c>
      <c r="I214" t="str">
        <f t="shared" si="22"/>
        <v>1J</v>
      </c>
      <c r="J214" t="str">
        <f t="shared" si="23"/>
        <v xml:space="preserve">1610 </v>
      </c>
      <c r="K214" t="str">
        <f t="shared" si="24"/>
        <v xml:space="preserve">1614 </v>
      </c>
      <c r="L214" t="str">
        <f t="shared" si="25"/>
        <v>Plat 3</v>
      </c>
      <c r="M214" s="8" t="str">
        <f t="shared" si="26"/>
        <v>3</v>
      </c>
      <c r="N214" t="s">
        <v>636</v>
      </c>
      <c r="O214" t="s">
        <v>637</v>
      </c>
    </row>
    <row r="215" spans="2:22" ht="15" customHeight="1" x14ac:dyDescent="0.25">
      <c r="B215" s="3" t="s">
        <v>620</v>
      </c>
      <c r="C215" s="1" t="s">
        <v>621</v>
      </c>
      <c r="D215" s="2" t="s">
        <v>636</v>
      </c>
      <c r="E215" s="1" t="s">
        <v>492</v>
      </c>
      <c r="F215" s="2" t="s">
        <v>635</v>
      </c>
      <c r="G215" s="1" t="s">
        <v>622</v>
      </c>
      <c r="H215" s="1" t="s">
        <v>3</v>
      </c>
      <c r="I215" t="str">
        <f t="shared" si="22"/>
        <v>1H</v>
      </c>
      <c r="J215" t="str">
        <f t="shared" si="23"/>
        <v xml:space="preserve">1612 </v>
      </c>
      <c r="K215" t="str">
        <f t="shared" si="24"/>
        <v xml:space="preserve">1616 </v>
      </c>
      <c r="L215" t="str">
        <f t="shared" si="25"/>
        <v>Plat 1</v>
      </c>
      <c r="M215" s="8" t="str">
        <f t="shared" si="26"/>
        <v>1</v>
      </c>
      <c r="N215" t="s">
        <v>635</v>
      </c>
    </row>
    <row r="216" spans="2:22" ht="15" customHeight="1" x14ac:dyDescent="0.25">
      <c r="B216" s="3" t="s">
        <v>623</v>
      </c>
      <c r="C216" s="1" t="s">
        <v>624</v>
      </c>
      <c r="D216" s="2" t="s">
        <v>635</v>
      </c>
      <c r="E216" s="1" t="s">
        <v>490</v>
      </c>
      <c r="F216" s="2" t="s">
        <v>636</v>
      </c>
      <c r="G216" s="1" t="s">
        <v>625</v>
      </c>
      <c r="H216" s="1" t="s">
        <v>3</v>
      </c>
      <c r="I216" t="str">
        <f t="shared" si="22"/>
        <v>1H</v>
      </c>
      <c r="J216" t="str">
        <f t="shared" si="23"/>
        <v xml:space="preserve">1617 </v>
      </c>
      <c r="K216" t="str">
        <f t="shared" si="24"/>
        <v xml:space="preserve">1621 </v>
      </c>
      <c r="L216" t="str">
        <f t="shared" si="25"/>
        <v>Plat 4</v>
      </c>
      <c r="M216" s="8" t="str">
        <f t="shared" si="26"/>
        <v>4</v>
      </c>
      <c r="N216" t="s">
        <v>636</v>
      </c>
    </row>
    <row r="217" spans="2:22" ht="15" customHeight="1" x14ac:dyDescent="0.25">
      <c r="B217" s="3" t="s">
        <v>626</v>
      </c>
      <c r="C217" s="1" t="s">
        <v>627</v>
      </c>
      <c r="D217" s="2" t="s">
        <v>637</v>
      </c>
      <c r="E217" s="1" t="s">
        <v>491</v>
      </c>
      <c r="F217" s="2" t="s">
        <v>635</v>
      </c>
      <c r="G217" s="1" t="s">
        <v>628</v>
      </c>
      <c r="H217" s="1" t="s">
        <v>3</v>
      </c>
      <c r="I217" t="str">
        <f t="shared" si="22"/>
        <v>1J</v>
      </c>
      <c r="J217" t="str">
        <f t="shared" si="23"/>
        <v xml:space="preserve">1619 </v>
      </c>
      <c r="K217" t="str">
        <f t="shared" si="24"/>
        <v xml:space="preserve">1623 </v>
      </c>
      <c r="L217" t="str">
        <f t="shared" si="25"/>
        <v>Plat 2</v>
      </c>
      <c r="M217" s="8" t="str">
        <f t="shared" si="26"/>
        <v>2</v>
      </c>
      <c r="N217" t="s">
        <v>635</v>
      </c>
    </row>
    <row r="218" spans="2:22" ht="15" customHeight="1" x14ac:dyDescent="0.25">
      <c r="B218" s="3" t="s">
        <v>629</v>
      </c>
      <c r="C218" s="1" t="s">
        <v>630</v>
      </c>
      <c r="D218" s="2" t="s">
        <v>635</v>
      </c>
      <c r="E218" s="1" t="s">
        <v>489</v>
      </c>
      <c r="F218" s="2" t="s">
        <v>19</v>
      </c>
      <c r="G218" s="1" t="s">
        <v>631</v>
      </c>
      <c r="H218" s="1" t="s">
        <v>3</v>
      </c>
      <c r="I218" t="str">
        <f t="shared" si="22"/>
        <v>1F</v>
      </c>
      <c r="J218" t="str">
        <f t="shared" si="23"/>
        <v xml:space="preserve">1624 </v>
      </c>
      <c r="K218" t="str">
        <f t="shared" si="24"/>
        <v xml:space="preserve">1628 </v>
      </c>
      <c r="L218" t="str">
        <f t="shared" si="25"/>
        <v>Plat 3</v>
      </c>
      <c r="M218" s="8" t="str">
        <f t="shared" si="26"/>
        <v>3</v>
      </c>
      <c r="N218" t="s">
        <v>636</v>
      </c>
      <c r="O218" t="s">
        <v>1028</v>
      </c>
      <c r="P218" t="s">
        <v>1029</v>
      </c>
      <c r="Q218" t="s">
        <v>1030</v>
      </c>
      <c r="R218" t="s">
        <v>1031</v>
      </c>
      <c r="S218" t="s">
        <v>1032</v>
      </c>
      <c r="T218" t="s">
        <v>1033</v>
      </c>
      <c r="U218" t="s">
        <v>1034</v>
      </c>
      <c r="V218" t="s">
        <v>19</v>
      </c>
    </row>
    <row r="219" spans="2:22" ht="15" customHeight="1" x14ac:dyDescent="0.25">
      <c r="B219" s="3" t="s">
        <v>632</v>
      </c>
      <c r="C219" s="1" t="s">
        <v>633</v>
      </c>
      <c r="D219" s="2" t="s">
        <v>636</v>
      </c>
      <c r="E219" s="1" t="s">
        <v>492</v>
      </c>
      <c r="F219" s="2" t="s">
        <v>635</v>
      </c>
      <c r="G219" s="1" t="s">
        <v>634</v>
      </c>
      <c r="H219" s="1" t="s">
        <v>3</v>
      </c>
      <c r="I219" t="str">
        <f t="shared" si="22"/>
        <v>1L</v>
      </c>
      <c r="J219" t="str">
        <f t="shared" si="23"/>
        <v xml:space="preserve">1626 </v>
      </c>
      <c r="K219" t="str">
        <f t="shared" si="24"/>
        <v xml:space="preserve">1630 </v>
      </c>
      <c r="L219" t="str">
        <f t="shared" si="25"/>
        <v>Plat 1</v>
      </c>
      <c r="M219" s="8" t="str">
        <f t="shared" si="26"/>
        <v>1</v>
      </c>
      <c r="N219" t="s">
        <v>635</v>
      </c>
    </row>
    <row r="220" spans="2:22" ht="15" customHeight="1" x14ac:dyDescent="0.25">
      <c r="B220" s="3" t="s">
        <v>645</v>
      </c>
      <c r="C220" s="1" t="s">
        <v>646</v>
      </c>
      <c r="D220" s="2" t="s">
        <v>635</v>
      </c>
      <c r="E220" s="1" t="s">
        <v>490</v>
      </c>
      <c r="F220" s="2" t="s">
        <v>636</v>
      </c>
      <c r="G220" s="1" t="s">
        <v>647</v>
      </c>
      <c r="H220" s="1" t="s">
        <v>3</v>
      </c>
      <c r="I220" t="str">
        <f t="shared" si="22"/>
        <v>1L</v>
      </c>
      <c r="J220" t="str">
        <f t="shared" si="23"/>
        <v xml:space="preserve">1631 </v>
      </c>
      <c r="K220" t="str">
        <f t="shared" si="24"/>
        <v xml:space="preserve">1635 </v>
      </c>
      <c r="L220" t="str">
        <f t="shared" si="25"/>
        <v>Plat 4</v>
      </c>
      <c r="M220" s="8" t="str">
        <f t="shared" si="26"/>
        <v>4</v>
      </c>
      <c r="N220" t="s">
        <v>636</v>
      </c>
    </row>
    <row r="221" spans="2:22" ht="15" customHeight="1" x14ac:dyDescent="0.25">
      <c r="B221" s="3" t="s">
        <v>648</v>
      </c>
      <c r="C221" s="1" t="s">
        <v>649</v>
      </c>
      <c r="D221" s="2" t="s">
        <v>636</v>
      </c>
      <c r="E221" s="1" t="s">
        <v>491</v>
      </c>
      <c r="F221" s="2" t="s">
        <v>635</v>
      </c>
      <c r="G221" s="1" t="s">
        <v>650</v>
      </c>
      <c r="H221" s="1" t="s">
        <v>3</v>
      </c>
      <c r="I221" t="str">
        <f t="shared" si="22"/>
        <v>1F</v>
      </c>
      <c r="J221" t="str">
        <f t="shared" si="23"/>
        <v xml:space="preserve">1633 </v>
      </c>
      <c r="K221" t="str">
        <f t="shared" si="24"/>
        <v xml:space="preserve">1637 </v>
      </c>
      <c r="L221" t="str">
        <f t="shared" si="25"/>
        <v>Plat 2</v>
      </c>
      <c r="M221" s="8" t="str">
        <f t="shared" si="26"/>
        <v>2</v>
      </c>
      <c r="N221" t="s">
        <v>635</v>
      </c>
    </row>
    <row r="222" spans="2:22" ht="15" customHeight="1" x14ac:dyDescent="0.25">
      <c r="B222" s="3" t="s">
        <v>651</v>
      </c>
      <c r="C222" s="1" t="s">
        <v>652</v>
      </c>
      <c r="D222" s="2" t="s">
        <v>635</v>
      </c>
      <c r="E222" s="1" t="s">
        <v>489</v>
      </c>
      <c r="F222" s="2" t="s">
        <v>636</v>
      </c>
      <c r="G222" s="1" t="s">
        <v>653</v>
      </c>
      <c r="H222" s="1" t="s">
        <v>3</v>
      </c>
      <c r="I222" t="str">
        <f t="shared" si="22"/>
        <v>1F</v>
      </c>
      <c r="J222" t="str">
        <f t="shared" si="23"/>
        <v xml:space="preserve">1638 </v>
      </c>
      <c r="K222" t="str">
        <f t="shared" si="24"/>
        <v xml:space="preserve">1642 </v>
      </c>
      <c r="L222" t="str">
        <f t="shared" si="25"/>
        <v>Plat 3</v>
      </c>
      <c r="M222" s="8" t="str">
        <f t="shared" si="26"/>
        <v>3</v>
      </c>
      <c r="N222" t="s">
        <v>636</v>
      </c>
    </row>
    <row r="223" spans="2:22" ht="15" customHeight="1" x14ac:dyDescent="0.25">
      <c r="B223" s="3" t="s">
        <v>654</v>
      </c>
      <c r="C223" s="1" t="s">
        <v>655</v>
      </c>
      <c r="D223" s="2" t="s">
        <v>637</v>
      </c>
      <c r="E223" s="1" t="s">
        <v>492</v>
      </c>
      <c r="F223" s="2" t="s">
        <v>635</v>
      </c>
      <c r="G223" s="1" t="s">
        <v>656</v>
      </c>
      <c r="H223" s="1" t="s">
        <v>3</v>
      </c>
      <c r="I223" t="str">
        <f t="shared" si="22"/>
        <v>1J</v>
      </c>
      <c r="J223" t="str">
        <f t="shared" si="23"/>
        <v>1644½</v>
      </c>
      <c r="K223" t="str">
        <f t="shared" si="24"/>
        <v>1648½</v>
      </c>
      <c r="L223" t="str">
        <f t="shared" si="25"/>
        <v>Plat 1</v>
      </c>
      <c r="M223" s="8" t="str">
        <f t="shared" si="26"/>
        <v>1</v>
      </c>
      <c r="N223" t="s">
        <v>635</v>
      </c>
    </row>
    <row r="224" spans="2:22" ht="15" customHeight="1" x14ac:dyDescent="0.25">
      <c r="B224" s="3" t="s">
        <v>657</v>
      </c>
      <c r="C224" s="1" t="s">
        <v>658</v>
      </c>
      <c r="D224" s="2" t="s">
        <v>635</v>
      </c>
      <c r="E224" s="1" t="s">
        <v>490</v>
      </c>
      <c r="F224" s="2" t="s">
        <v>637</v>
      </c>
      <c r="G224" s="1" t="s">
        <v>659</v>
      </c>
      <c r="H224" s="1" t="s">
        <v>3</v>
      </c>
      <c r="I224" t="str">
        <f t="shared" si="22"/>
        <v>1J</v>
      </c>
      <c r="J224" t="str">
        <f t="shared" si="23"/>
        <v xml:space="preserve">1645 </v>
      </c>
      <c r="K224" t="str">
        <f t="shared" si="24"/>
        <v xml:space="preserve">1649 </v>
      </c>
      <c r="L224" t="str">
        <f t="shared" si="25"/>
        <v>Plat 4</v>
      </c>
      <c r="M224" s="8" t="str">
        <f t="shared" si="26"/>
        <v>4</v>
      </c>
      <c r="N224" t="s">
        <v>636</v>
      </c>
      <c r="O224" t="s">
        <v>637</v>
      </c>
    </row>
    <row r="225" spans="2:22" ht="15" customHeight="1" x14ac:dyDescent="0.25">
      <c r="B225" s="3" t="s">
        <v>660</v>
      </c>
      <c r="C225" s="1" t="s">
        <v>661</v>
      </c>
      <c r="D225" s="2" t="s">
        <v>636</v>
      </c>
      <c r="E225" s="1" t="s">
        <v>491</v>
      </c>
      <c r="F225" s="2" t="s">
        <v>635</v>
      </c>
      <c r="G225" s="1" t="s">
        <v>662</v>
      </c>
      <c r="H225" s="1" t="s">
        <v>3</v>
      </c>
      <c r="I225" t="str">
        <f t="shared" si="22"/>
        <v>1H</v>
      </c>
      <c r="J225" t="str">
        <f t="shared" si="23"/>
        <v xml:space="preserve">1651 </v>
      </c>
      <c r="K225" t="str">
        <f t="shared" si="24"/>
        <v xml:space="preserve">1655 </v>
      </c>
      <c r="L225" t="str">
        <f t="shared" si="25"/>
        <v>Plat 2</v>
      </c>
      <c r="M225" s="8" t="str">
        <f t="shared" si="26"/>
        <v>2</v>
      </c>
      <c r="N225" t="s">
        <v>635</v>
      </c>
    </row>
    <row r="226" spans="2:22" ht="15" customHeight="1" x14ac:dyDescent="0.25">
      <c r="B226" s="3" t="s">
        <v>663</v>
      </c>
      <c r="C226" s="1" t="s">
        <v>664</v>
      </c>
      <c r="D226" s="2" t="s">
        <v>635</v>
      </c>
      <c r="E226" s="1" t="s">
        <v>489</v>
      </c>
      <c r="F226" s="2" t="s">
        <v>636</v>
      </c>
      <c r="G226" s="1" t="s">
        <v>665</v>
      </c>
      <c r="H226" s="1" t="s">
        <v>3</v>
      </c>
      <c r="I226" t="str">
        <f t="shared" si="22"/>
        <v>1L</v>
      </c>
      <c r="J226" t="str">
        <f t="shared" si="23"/>
        <v xml:space="preserve">1652 </v>
      </c>
      <c r="K226" t="str">
        <f t="shared" si="24"/>
        <v xml:space="preserve">1656 </v>
      </c>
      <c r="L226" t="str">
        <f t="shared" si="25"/>
        <v>Plat 3</v>
      </c>
      <c r="M226" s="8" t="str">
        <f t="shared" si="26"/>
        <v>3</v>
      </c>
      <c r="N226" t="s">
        <v>636</v>
      </c>
    </row>
    <row r="227" spans="2:22" ht="15" customHeight="1" x14ac:dyDescent="0.25">
      <c r="B227" s="3" t="s">
        <v>666</v>
      </c>
      <c r="C227" s="1" t="s">
        <v>667</v>
      </c>
      <c r="D227" s="2" t="s">
        <v>19</v>
      </c>
      <c r="E227" s="1" t="s">
        <v>492</v>
      </c>
      <c r="F227" s="2" t="s">
        <v>635</v>
      </c>
      <c r="G227" s="1" t="s">
        <v>668</v>
      </c>
      <c r="H227" s="1" t="s">
        <v>3</v>
      </c>
      <c r="I227" t="str">
        <f t="shared" si="22"/>
        <v>1F</v>
      </c>
      <c r="J227" t="str">
        <f t="shared" si="23"/>
        <v xml:space="preserve">1658 </v>
      </c>
      <c r="K227" t="str">
        <f t="shared" si="24"/>
        <v xml:space="preserve">1702 </v>
      </c>
      <c r="L227" t="str">
        <f t="shared" si="25"/>
        <v>Plat 1</v>
      </c>
      <c r="M227" s="8" t="str">
        <f t="shared" si="26"/>
        <v>1</v>
      </c>
      <c r="N227" t="s">
        <v>635</v>
      </c>
    </row>
    <row r="228" spans="2:22" ht="15" customHeight="1" x14ac:dyDescent="0.25">
      <c r="B228" s="3" t="s">
        <v>669</v>
      </c>
      <c r="C228" s="1" t="s">
        <v>670</v>
      </c>
      <c r="D228" s="2" t="s">
        <v>635</v>
      </c>
      <c r="E228" s="1" t="s">
        <v>490</v>
      </c>
      <c r="F228" s="2" t="s">
        <v>636</v>
      </c>
      <c r="G228" s="1" t="s">
        <v>671</v>
      </c>
      <c r="H228" s="1" t="s">
        <v>3</v>
      </c>
      <c r="I228" t="str">
        <f t="shared" si="22"/>
        <v>1H</v>
      </c>
      <c r="J228" t="str">
        <f t="shared" si="23"/>
        <v xml:space="preserve">1659 </v>
      </c>
      <c r="K228" t="str">
        <f t="shared" si="24"/>
        <v xml:space="preserve">1703 </v>
      </c>
      <c r="L228" t="str">
        <f t="shared" si="25"/>
        <v>Plat 4</v>
      </c>
      <c r="M228" s="8" t="str">
        <f t="shared" si="26"/>
        <v>4</v>
      </c>
      <c r="N228" t="s">
        <v>636</v>
      </c>
    </row>
    <row r="229" spans="2:22" ht="15" customHeight="1" x14ac:dyDescent="0.25">
      <c r="B229" s="3" t="s">
        <v>672</v>
      </c>
      <c r="C229" s="1" t="s">
        <v>673</v>
      </c>
      <c r="D229" s="2" t="s">
        <v>636</v>
      </c>
      <c r="E229" s="1" t="s">
        <v>491</v>
      </c>
      <c r="F229" s="2" t="s">
        <v>635</v>
      </c>
      <c r="G229" s="1" t="s">
        <v>674</v>
      </c>
      <c r="H229" s="1" t="s">
        <v>3</v>
      </c>
      <c r="I229" t="str">
        <f t="shared" si="22"/>
        <v>1L</v>
      </c>
      <c r="J229" t="str">
        <f t="shared" si="23"/>
        <v xml:space="preserve">1705 </v>
      </c>
      <c r="K229" t="str">
        <f t="shared" si="24"/>
        <v xml:space="preserve">1709 </v>
      </c>
      <c r="L229" t="str">
        <f t="shared" si="25"/>
        <v>Plat 2</v>
      </c>
      <c r="M229" s="8" t="str">
        <f t="shared" si="26"/>
        <v>2</v>
      </c>
      <c r="N229" t="s">
        <v>635</v>
      </c>
    </row>
    <row r="230" spans="2:22" ht="15" customHeight="1" x14ac:dyDescent="0.25">
      <c r="B230" s="3" t="s">
        <v>675</v>
      </c>
      <c r="C230" s="1" t="s">
        <v>676</v>
      </c>
      <c r="D230" s="2" t="s">
        <v>635</v>
      </c>
      <c r="E230" s="1" t="s">
        <v>489</v>
      </c>
      <c r="F230" s="2" t="s">
        <v>637</v>
      </c>
      <c r="G230" s="1" t="s">
        <v>677</v>
      </c>
      <c r="H230" s="1" t="s">
        <v>3</v>
      </c>
      <c r="I230" t="str">
        <f t="shared" si="22"/>
        <v>1J</v>
      </c>
      <c r="J230" t="str">
        <f t="shared" si="23"/>
        <v xml:space="preserve">1710 </v>
      </c>
      <c r="K230" t="str">
        <f t="shared" si="24"/>
        <v xml:space="preserve">1714 </v>
      </c>
      <c r="L230" t="str">
        <f t="shared" si="25"/>
        <v>Plat 3</v>
      </c>
      <c r="M230" s="8" t="str">
        <f t="shared" si="26"/>
        <v>3</v>
      </c>
      <c r="N230" t="s">
        <v>636</v>
      </c>
      <c r="O230" t="s">
        <v>637</v>
      </c>
    </row>
    <row r="231" spans="2:22" ht="15" customHeight="1" x14ac:dyDescent="0.25">
      <c r="B231" s="3" t="s">
        <v>678</v>
      </c>
      <c r="C231" s="1" t="s">
        <v>679</v>
      </c>
      <c r="D231" s="2" t="s">
        <v>636</v>
      </c>
      <c r="E231" s="1" t="s">
        <v>492</v>
      </c>
      <c r="F231" s="2" t="s">
        <v>635</v>
      </c>
      <c r="G231" s="1" t="s">
        <v>680</v>
      </c>
      <c r="H231" s="1" t="s">
        <v>3</v>
      </c>
      <c r="I231" t="str">
        <f t="shared" si="22"/>
        <v>1H</v>
      </c>
      <c r="J231" t="str">
        <f t="shared" si="23"/>
        <v xml:space="preserve">1712 </v>
      </c>
      <c r="K231" t="str">
        <f t="shared" si="24"/>
        <v xml:space="preserve">1716 </v>
      </c>
      <c r="L231" t="str">
        <f t="shared" si="25"/>
        <v>Plat 1</v>
      </c>
      <c r="M231" s="8" t="str">
        <f t="shared" si="26"/>
        <v>1</v>
      </c>
      <c r="N231" t="s">
        <v>635</v>
      </c>
    </row>
    <row r="232" spans="2:22" ht="15" customHeight="1" x14ac:dyDescent="0.25">
      <c r="B232" s="3" t="s">
        <v>681</v>
      </c>
      <c r="C232" s="1" t="s">
        <v>682</v>
      </c>
      <c r="D232" s="2" t="s">
        <v>635</v>
      </c>
      <c r="E232" s="1" t="s">
        <v>490</v>
      </c>
      <c r="F232" s="2" t="s">
        <v>636</v>
      </c>
      <c r="G232" s="1" t="s">
        <v>683</v>
      </c>
      <c r="H232" s="1" t="s">
        <v>3</v>
      </c>
      <c r="I232" t="str">
        <f t="shared" si="22"/>
        <v>1H</v>
      </c>
      <c r="J232" t="str">
        <f t="shared" si="23"/>
        <v xml:space="preserve">1717 </v>
      </c>
      <c r="K232" t="str">
        <f t="shared" si="24"/>
        <v xml:space="preserve">1721 </v>
      </c>
      <c r="L232" t="str">
        <f t="shared" si="25"/>
        <v>Plat 4</v>
      </c>
      <c r="M232" s="8" t="str">
        <f t="shared" si="26"/>
        <v>4</v>
      </c>
      <c r="N232" t="s">
        <v>636</v>
      </c>
    </row>
    <row r="233" spans="2:22" ht="15" customHeight="1" x14ac:dyDescent="0.25">
      <c r="B233" s="3" t="s">
        <v>684</v>
      </c>
      <c r="C233" s="1" t="s">
        <v>685</v>
      </c>
      <c r="D233" s="2" t="s">
        <v>637</v>
      </c>
      <c r="E233" s="1" t="s">
        <v>491</v>
      </c>
      <c r="F233" s="2" t="s">
        <v>635</v>
      </c>
      <c r="G233" s="1" t="s">
        <v>686</v>
      </c>
      <c r="H233" s="1" t="s">
        <v>3</v>
      </c>
      <c r="I233" t="str">
        <f t="shared" si="22"/>
        <v>1J</v>
      </c>
      <c r="J233" t="str">
        <f t="shared" si="23"/>
        <v xml:space="preserve">1719 </v>
      </c>
      <c r="K233" t="str">
        <f t="shared" si="24"/>
        <v xml:space="preserve">1723 </v>
      </c>
      <c r="L233" t="str">
        <f t="shared" si="25"/>
        <v>Plat 2</v>
      </c>
      <c r="M233" s="8" t="str">
        <f t="shared" si="26"/>
        <v>2</v>
      </c>
      <c r="N233" t="s">
        <v>635</v>
      </c>
    </row>
    <row r="234" spans="2:22" ht="15" customHeight="1" x14ac:dyDescent="0.25">
      <c r="B234" s="3" t="s">
        <v>687</v>
      </c>
      <c r="C234" s="1" t="s">
        <v>688</v>
      </c>
      <c r="D234" s="2" t="s">
        <v>635</v>
      </c>
      <c r="E234" s="1" t="s">
        <v>489</v>
      </c>
      <c r="F234" s="2" t="s">
        <v>19</v>
      </c>
      <c r="G234" s="1" t="s">
        <v>689</v>
      </c>
      <c r="H234" s="1" t="s">
        <v>3</v>
      </c>
      <c r="I234" t="str">
        <f t="shared" si="22"/>
        <v>1F</v>
      </c>
      <c r="J234" t="str">
        <f t="shared" si="23"/>
        <v xml:space="preserve">1724 </v>
      </c>
      <c r="K234" t="str">
        <f t="shared" si="24"/>
        <v xml:space="preserve">1728 </v>
      </c>
      <c r="L234" t="str">
        <f t="shared" si="25"/>
        <v>Plat 3</v>
      </c>
      <c r="M234" s="8" t="str">
        <f t="shared" si="26"/>
        <v>3</v>
      </c>
      <c r="N234" t="s">
        <v>636</v>
      </c>
      <c r="O234" t="s">
        <v>1028</v>
      </c>
      <c r="P234" t="s">
        <v>1029</v>
      </c>
      <c r="Q234" t="s">
        <v>1030</v>
      </c>
      <c r="R234" t="s">
        <v>1031</v>
      </c>
      <c r="S234" t="s">
        <v>1032</v>
      </c>
      <c r="T234" t="s">
        <v>1033</v>
      </c>
      <c r="U234" t="s">
        <v>1034</v>
      </c>
      <c r="V234" t="s">
        <v>19</v>
      </c>
    </row>
    <row r="235" spans="2:22" ht="15" customHeight="1" x14ac:dyDescent="0.25">
      <c r="B235" s="3" t="s">
        <v>690</v>
      </c>
      <c r="C235" s="1" t="s">
        <v>691</v>
      </c>
      <c r="D235" s="2" t="s">
        <v>636</v>
      </c>
      <c r="E235" s="1" t="s">
        <v>492</v>
      </c>
      <c r="F235" s="2" t="s">
        <v>635</v>
      </c>
      <c r="G235" s="1" t="s">
        <v>692</v>
      </c>
      <c r="H235" s="1" t="s">
        <v>3</v>
      </c>
      <c r="I235" t="str">
        <f t="shared" si="22"/>
        <v>1L</v>
      </c>
      <c r="J235" t="str">
        <f t="shared" si="23"/>
        <v xml:space="preserve">1726 </v>
      </c>
      <c r="K235" t="str">
        <f t="shared" si="24"/>
        <v xml:space="preserve">1730 </v>
      </c>
      <c r="L235" t="str">
        <f t="shared" si="25"/>
        <v>Plat 1</v>
      </c>
      <c r="M235" s="8" t="str">
        <f t="shared" si="26"/>
        <v>1</v>
      </c>
      <c r="N235" t="s">
        <v>635</v>
      </c>
    </row>
    <row r="236" spans="2:22" ht="15" customHeight="1" x14ac:dyDescent="0.25">
      <c r="B236" s="3" t="s">
        <v>693</v>
      </c>
      <c r="C236" s="1" t="s">
        <v>694</v>
      </c>
      <c r="D236" s="2" t="s">
        <v>635</v>
      </c>
      <c r="E236" s="1" t="s">
        <v>490</v>
      </c>
      <c r="F236" s="2" t="s">
        <v>636</v>
      </c>
      <c r="G236" s="1" t="s">
        <v>695</v>
      </c>
      <c r="H236" s="1" t="s">
        <v>3</v>
      </c>
      <c r="I236" t="str">
        <f t="shared" ref="I236:I291" si="27">LEFT(B236,2)</f>
        <v>1L</v>
      </c>
      <c r="J236" t="str">
        <f t="shared" ref="J236:J291" si="28">LEFT(C236,5)</f>
        <v xml:space="preserve">1731 </v>
      </c>
      <c r="K236" t="str">
        <f t="shared" ref="K236:K291" si="29">LEFT(G236,5)</f>
        <v xml:space="preserve">1735 </v>
      </c>
      <c r="L236" t="str">
        <f t="shared" ref="L236:L291" si="30">LEFT(E236,6)</f>
        <v>Plat 4</v>
      </c>
      <c r="M236" s="8" t="str">
        <f t="shared" si="26"/>
        <v>4</v>
      </c>
      <c r="N236" t="s">
        <v>636</v>
      </c>
    </row>
    <row r="237" spans="2:22" ht="15" customHeight="1" x14ac:dyDescent="0.25">
      <c r="B237" s="3" t="s">
        <v>696</v>
      </c>
      <c r="C237" s="1" t="s">
        <v>697</v>
      </c>
      <c r="D237" s="2" t="s">
        <v>636</v>
      </c>
      <c r="E237" s="1" t="s">
        <v>491</v>
      </c>
      <c r="F237" s="2" t="s">
        <v>635</v>
      </c>
      <c r="G237" s="1" t="s">
        <v>698</v>
      </c>
      <c r="H237" s="1" t="s">
        <v>3</v>
      </c>
      <c r="I237" t="str">
        <f t="shared" si="27"/>
        <v>1F</v>
      </c>
      <c r="J237" t="str">
        <f t="shared" si="28"/>
        <v xml:space="preserve">1733 </v>
      </c>
      <c r="K237" t="str">
        <f t="shared" si="29"/>
        <v xml:space="preserve">1737 </v>
      </c>
      <c r="L237" t="str">
        <f t="shared" si="30"/>
        <v>Plat 2</v>
      </c>
      <c r="M237" s="8" t="str">
        <f t="shared" si="26"/>
        <v>2</v>
      </c>
      <c r="N237" t="s">
        <v>635</v>
      </c>
    </row>
    <row r="238" spans="2:22" ht="15" customHeight="1" x14ac:dyDescent="0.25">
      <c r="B238" s="3" t="s">
        <v>699</v>
      </c>
      <c r="C238" s="1" t="s">
        <v>700</v>
      </c>
      <c r="D238" s="2" t="s">
        <v>635</v>
      </c>
      <c r="E238" s="1" t="s">
        <v>489</v>
      </c>
      <c r="F238" s="2" t="s">
        <v>636</v>
      </c>
      <c r="G238" s="1" t="s">
        <v>701</v>
      </c>
      <c r="H238" s="1" t="s">
        <v>3</v>
      </c>
      <c r="I238" t="str">
        <f t="shared" si="27"/>
        <v>1F</v>
      </c>
      <c r="J238" t="str">
        <f t="shared" si="28"/>
        <v xml:space="preserve">1738 </v>
      </c>
      <c r="K238" t="str">
        <f t="shared" si="29"/>
        <v xml:space="preserve">1742 </v>
      </c>
      <c r="L238" t="str">
        <f t="shared" si="30"/>
        <v>Plat 3</v>
      </c>
      <c r="M238" s="8" t="str">
        <f t="shared" si="26"/>
        <v>3</v>
      </c>
      <c r="N238" t="s">
        <v>636</v>
      </c>
    </row>
    <row r="239" spans="2:22" ht="15" customHeight="1" x14ac:dyDescent="0.25">
      <c r="B239" s="3" t="s">
        <v>702</v>
      </c>
      <c r="C239" s="1" t="s">
        <v>703</v>
      </c>
      <c r="D239" s="2" t="s">
        <v>637</v>
      </c>
      <c r="E239" s="1" t="s">
        <v>492</v>
      </c>
      <c r="F239" s="2" t="s">
        <v>635</v>
      </c>
      <c r="G239" s="1" t="s">
        <v>704</v>
      </c>
      <c r="H239" s="1" t="s">
        <v>3</v>
      </c>
      <c r="I239" t="str">
        <f t="shared" si="27"/>
        <v>1J</v>
      </c>
      <c r="J239" t="str">
        <f t="shared" si="28"/>
        <v>1744½</v>
      </c>
      <c r="K239" t="str">
        <f t="shared" si="29"/>
        <v>1748½</v>
      </c>
      <c r="L239" t="str">
        <f t="shared" si="30"/>
        <v>Plat 1</v>
      </c>
      <c r="M239" s="8" t="str">
        <f t="shared" si="26"/>
        <v>1</v>
      </c>
      <c r="N239" t="s">
        <v>635</v>
      </c>
    </row>
    <row r="240" spans="2:22" ht="15" customHeight="1" x14ac:dyDescent="0.25">
      <c r="B240" s="3" t="s">
        <v>705</v>
      </c>
      <c r="C240" s="1" t="s">
        <v>706</v>
      </c>
      <c r="D240" s="2" t="s">
        <v>635</v>
      </c>
      <c r="E240" s="1" t="s">
        <v>490</v>
      </c>
      <c r="F240" s="2" t="s">
        <v>637</v>
      </c>
      <c r="G240" s="1" t="s">
        <v>707</v>
      </c>
      <c r="H240" s="1" t="s">
        <v>3</v>
      </c>
      <c r="I240" t="str">
        <f t="shared" si="27"/>
        <v>1J</v>
      </c>
      <c r="J240" t="str">
        <f t="shared" si="28"/>
        <v xml:space="preserve">1745 </v>
      </c>
      <c r="K240" t="str">
        <f t="shared" si="29"/>
        <v xml:space="preserve">1749 </v>
      </c>
      <c r="L240" t="str">
        <f t="shared" si="30"/>
        <v>Plat 4</v>
      </c>
      <c r="M240" s="8" t="str">
        <f t="shared" si="26"/>
        <v>4</v>
      </c>
      <c r="N240" t="s">
        <v>636</v>
      </c>
      <c r="O240" t="s">
        <v>637</v>
      </c>
    </row>
    <row r="241" spans="2:22" ht="15" customHeight="1" x14ac:dyDescent="0.25">
      <c r="B241" s="3" t="s">
        <v>708</v>
      </c>
      <c r="C241" s="1" t="s">
        <v>709</v>
      </c>
      <c r="D241" s="2" t="s">
        <v>636</v>
      </c>
      <c r="E241" s="1" t="s">
        <v>491</v>
      </c>
      <c r="F241" s="2" t="s">
        <v>635</v>
      </c>
      <c r="G241" s="1" t="s">
        <v>710</v>
      </c>
      <c r="H241" s="1" t="s">
        <v>3</v>
      </c>
      <c r="I241" t="str">
        <f t="shared" si="27"/>
        <v>1H</v>
      </c>
      <c r="J241" t="str">
        <f t="shared" si="28"/>
        <v xml:space="preserve">1751 </v>
      </c>
      <c r="K241" t="str">
        <f t="shared" si="29"/>
        <v xml:space="preserve">1755 </v>
      </c>
      <c r="L241" t="str">
        <f t="shared" si="30"/>
        <v>Plat 2</v>
      </c>
      <c r="M241" s="8" t="str">
        <f t="shared" si="26"/>
        <v>2</v>
      </c>
      <c r="N241" t="s">
        <v>635</v>
      </c>
    </row>
    <row r="242" spans="2:22" ht="15" customHeight="1" x14ac:dyDescent="0.25">
      <c r="B242" s="3" t="s">
        <v>711</v>
      </c>
      <c r="C242" s="1" t="s">
        <v>712</v>
      </c>
      <c r="D242" s="2" t="s">
        <v>635</v>
      </c>
      <c r="E242" s="1" t="s">
        <v>489</v>
      </c>
      <c r="F242" s="2" t="s">
        <v>636</v>
      </c>
      <c r="G242" s="1" t="s">
        <v>713</v>
      </c>
      <c r="H242" s="1" t="s">
        <v>3</v>
      </c>
      <c r="I242" t="str">
        <f t="shared" si="27"/>
        <v>1L</v>
      </c>
      <c r="J242" t="str">
        <f t="shared" si="28"/>
        <v xml:space="preserve">1752 </v>
      </c>
      <c r="K242" t="str">
        <f t="shared" si="29"/>
        <v xml:space="preserve">1756 </v>
      </c>
      <c r="L242" t="str">
        <f t="shared" si="30"/>
        <v>Plat 3</v>
      </c>
      <c r="M242" s="8" t="str">
        <f t="shared" si="26"/>
        <v>3</v>
      </c>
      <c r="N242" t="s">
        <v>636</v>
      </c>
    </row>
    <row r="243" spans="2:22" ht="15" customHeight="1" x14ac:dyDescent="0.25">
      <c r="B243" s="3" t="s">
        <v>714</v>
      </c>
      <c r="C243" s="1" t="s">
        <v>715</v>
      </c>
      <c r="D243" s="2" t="s">
        <v>19</v>
      </c>
      <c r="E243" s="1" t="s">
        <v>492</v>
      </c>
      <c r="F243" s="2" t="s">
        <v>635</v>
      </c>
      <c r="G243" s="1" t="s">
        <v>716</v>
      </c>
      <c r="H243" s="1" t="s">
        <v>3</v>
      </c>
      <c r="I243" t="str">
        <f t="shared" si="27"/>
        <v>1F</v>
      </c>
      <c r="J243" t="str">
        <f t="shared" si="28"/>
        <v xml:space="preserve">1758 </v>
      </c>
      <c r="K243" t="str">
        <f t="shared" si="29"/>
        <v xml:space="preserve">1802 </v>
      </c>
      <c r="L243" t="str">
        <f t="shared" si="30"/>
        <v>Plat 1</v>
      </c>
      <c r="M243" s="8" t="str">
        <f t="shared" si="26"/>
        <v>1</v>
      </c>
      <c r="N243" t="s">
        <v>635</v>
      </c>
    </row>
    <row r="244" spans="2:22" ht="15" customHeight="1" x14ac:dyDescent="0.25">
      <c r="B244" s="3" t="s">
        <v>717</v>
      </c>
      <c r="C244" s="1" t="s">
        <v>718</v>
      </c>
      <c r="D244" s="2" t="s">
        <v>635</v>
      </c>
      <c r="E244" s="1" t="s">
        <v>490</v>
      </c>
      <c r="F244" s="2" t="s">
        <v>636</v>
      </c>
      <c r="G244" s="1" t="s">
        <v>719</v>
      </c>
      <c r="H244" s="1" t="s">
        <v>3</v>
      </c>
      <c r="I244" t="str">
        <f t="shared" si="27"/>
        <v>1H</v>
      </c>
      <c r="J244" t="str">
        <f t="shared" si="28"/>
        <v xml:space="preserve">1759 </v>
      </c>
      <c r="K244" t="str">
        <f t="shared" si="29"/>
        <v xml:space="preserve">1803 </v>
      </c>
      <c r="L244" t="str">
        <f t="shared" si="30"/>
        <v>Plat 4</v>
      </c>
      <c r="M244" s="8" t="str">
        <f t="shared" si="26"/>
        <v>4</v>
      </c>
      <c r="N244" t="s">
        <v>636</v>
      </c>
    </row>
    <row r="245" spans="2:22" ht="15" customHeight="1" x14ac:dyDescent="0.25">
      <c r="B245" s="3" t="s">
        <v>720</v>
      </c>
      <c r="C245" s="1" t="s">
        <v>721</v>
      </c>
      <c r="D245" s="2" t="s">
        <v>636</v>
      </c>
      <c r="E245" s="1" t="s">
        <v>491</v>
      </c>
      <c r="F245" s="2" t="s">
        <v>635</v>
      </c>
      <c r="G245" s="1" t="s">
        <v>722</v>
      </c>
      <c r="H245" s="1" t="s">
        <v>3</v>
      </c>
      <c r="I245" t="str">
        <f t="shared" si="27"/>
        <v>1L</v>
      </c>
      <c r="J245" t="str">
        <f t="shared" si="28"/>
        <v xml:space="preserve">1805 </v>
      </c>
      <c r="K245" t="str">
        <f t="shared" si="29"/>
        <v xml:space="preserve">1809 </v>
      </c>
      <c r="L245" t="str">
        <f t="shared" si="30"/>
        <v>Plat 2</v>
      </c>
      <c r="M245" s="8" t="str">
        <f t="shared" si="26"/>
        <v>2</v>
      </c>
      <c r="N245" t="s">
        <v>635</v>
      </c>
    </row>
    <row r="246" spans="2:22" ht="15" customHeight="1" x14ac:dyDescent="0.25">
      <c r="B246" s="3" t="s">
        <v>723</v>
      </c>
      <c r="C246" s="1" t="s">
        <v>724</v>
      </c>
      <c r="D246" s="2" t="s">
        <v>635</v>
      </c>
      <c r="E246" s="1" t="s">
        <v>489</v>
      </c>
      <c r="F246" s="2" t="s">
        <v>637</v>
      </c>
      <c r="G246" s="1" t="s">
        <v>725</v>
      </c>
      <c r="H246" s="1" t="s">
        <v>3</v>
      </c>
      <c r="I246" t="str">
        <f t="shared" si="27"/>
        <v>1J</v>
      </c>
      <c r="J246" t="str">
        <f t="shared" si="28"/>
        <v xml:space="preserve">1810 </v>
      </c>
      <c r="K246" t="str">
        <f t="shared" si="29"/>
        <v xml:space="preserve">1814 </v>
      </c>
      <c r="L246" t="str">
        <f t="shared" si="30"/>
        <v>Plat 3</v>
      </c>
      <c r="M246" s="8" t="str">
        <f t="shared" si="26"/>
        <v>3</v>
      </c>
      <c r="N246" t="s">
        <v>636</v>
      </c>
      <c r="O246" t="s">
        <v>637</v>
      </c>
    </row>
    <row r="247" spans="2:22" ht="15" customHeight="1" x14ac:dyDescent="0.25">
      <c r="B247" s="3" t="s">
        <v>726</v>
      </c>
      <c r="C247" s="1" t="s">
        <v>727</v>
      </c>
      <c r="D247" s="2" t="s">
        <v>636</v>
      </c>
      <c r="E247" s="1" t="s">
        <v>492</v>
      </c>
      <c r="F247" s="2" t="s">
        <v>635</v>
      </c>
      <c r="G247" s="1" t="s">
        <v>728</v>
      </c>
      <c r="H247" s="1" t="s">
        <v>3</v>
      </c>
      <c r="I247" t="str">
        <f t="shared" si="27"/>
        <v>1H</v>
      </c>
      <c r="J247" t="str">
        <f t="shared" si="28"/>
        <v xml:space="preserve">1812 </v>
      </c>
      <c r="K247" t="str">
        <f t="shared" si="29"/>
        <v xml:space="preserve">1816 </v>
      </c>
      <c r="L247" t="str">
        <f t="shared" si="30"/>
        <v>Plat 1</v>
      </c>
      <c r="M247" s="8" t="str">
        <f t="shared" si="26"/>
        <v>1</v>
      </c>
      <c r="N247" t="s">
        <v>635</v>
      </c>
    </row>
    <row r="248" spans="2:22" ht="15" customHeight="1" x14ac:dyDescent="0.25">
      <c r="B248" s="3" t="s">
        <v>729</v>
      </c>
      <c r="C248" s="1" t="s">
        <v>730</v>
      </c>
      <c r="D248" s="2" t="s">
        <v>635</v>
      </c>
      <c r="E248" s="1" t="s">
        <v>490</v>
      </c>
      <c r="F248" s="2" t="s">
        <v>636</v>
      </c>
      <c r="G248" s="1" t="s">
        <v>731</v>
      </c>
      <c r="H248" s="1" t="s">
        <v>3</v>
      </c>
      <c r="I248" t="str">
        <f t="shared" si="27"/>
        <v>1H</v>
      </c>
      <c r="J248" t="str">
        <f t="shared" si="28"/>
        <v xml:space="preserve">1817 </v>
      </c>
      <c r="K248" t="str">
        <f t="shared" si="29"/>
        <v xml:space="preserve">1821 </v>
      </c>
      <c r="L248" t="str">
        <f t="shared" si="30"/>
        <v>Plat 4</v>
      </c>
      <c r="M248" s="8" t="str">
        <f t="shared" si="26"/>
        <v>4</v>
      </c>
      <c r="N248" t="s">
        <v>636</v>
      </c>
    </row>
    <row r="249" spans="2:22" ht="15" customHeight="1" x14ac:dyDescent="0.25">
      <c r="B249" s="3" t="s">
        <v>732</v>
      </c>
      <c r="C249" s="1" t="s">
        <v>733</v>
      </c>
      <c r="D249" s="2" t="s">
        <v>637</v>
      </c>
      <c r="E249" s="1" t="s">
        <v>491</v>
      </c>
      <c r="F249" s="2" t="s">
        <v>635</v>
      </c>
      <c r="G249" s="1" t="s">
        <v>734</v>
      </c>
      <c r="H249" s="1" t="s">
        <v>3</v>
      </c>
      <c r="I249" t="str">
        <f t="shared" si="27"/>
        <v>1J</v>
      </c>
      <c r="J249" t="str">
        <f t="shared" si="28"/>
        <v xml:space="preserve">1819 </v>
      </c>
      <c r="K249" t="str">
        <f t="shared" si="29"/>
        <v xml:space="preserve">1823 </v>
      </c>
      <c r="L249" t="str">
        <f t="shared" si="30"/>
        <v>Plat 2</v>
      </c>
      <c r="M249" s="8" t="str">
        <f t="shared" si="26"/>
        <v>2</v>
      </c>
      <c r="N249" t="s">
        <v>635</v>
      </c>
    </row>
    <row r="250" spans="2:22" ht="15" customHeight="1" x14ac:dyDescent="0.25">
      <c r="B250" s="3" t="s">
        <v>735</v>
      </c>
      <c r="C250" s="1" t="s">
        <v>736</v>
      </c>
      <c r="D250" s="2" t="s">
        <v>635</v>
      </c>
      <c r="E250" s="1" t="s">
        <v>489</v>
      </c>
      <c r="F250" s="2" t="s">
        <v>19</v>
      </c>
      <c r="G250" s="1" t="s">
        <v>737</v>
      </c>
      <c r="H250" s="1" t="s">
        <v>3</v>
      </c>
      <c r="I250" t="str">
        <f t="shared" si="27"/>
        <v>1F</v>
      </c>
      <c r="J250" t="str">
        <f t="shared" si="28"/>
        <v xml:space="preserve">1824 </v>
      </c>
      <c r="K250" t="str">
        <f t="shared" si="29"/>
        <v xml:space="preserve">1828 </v>
      </c>
      <c r="L250" t="str">
        <f t="shared" si="30"/>
        <v>Plat 3</v>
      </c>
      <c r="M250" s="8" t="str">
        <f t="shared" si="26"/>
        <v>3</v>
      </c>
      <c r="N250" t="s">
        <v>636</v>
      </c>
      <c r="O250" t="s">
        <v>1028</v>
      </c>
      <c r="P250" t="s">
        <v>1029</v>
      </c>
      <c r="Q250" t="s">
        <v>1030</v>
      </c>
      <c r="R250" t="s">
        <v>1031</v>
      </c>
      <c r="S250" t="s">
        <v>1032</v>
      </c>
      <c r="T250" t="s">
        <v>1033</v>
      </c>
      <c r="U250" t="s">
        <v>1034</v>
      </c>
      <c r="V250" t="s">
        <v>19</v>
      </c>
    </row>
    <row r="251" spans="2:22" ht="15" customHeight="1" x14ac:dyDescent="0.25">
      <c r="B251" s="3" t="s">
        <v>738</v>
      </c>
      <c r="C251" s="1" t="s">
        <v>739</v>
      </c>
      <c r="D251" s="2" t="s">
        <v>636</v>
      </c>
      <c r="E251" s="1" t="s">
        <v>492</v>
      </c>
      <c r="F251" s="2" t="s">
        <v>635</v>
      </c>
      <c r="G251" s="1" t="s">
        <v>740</v>
      </c>
      <c r="H251" s="1" t="s">
        <v>3</v>
      </c>
      <c r="I251" t="str">
        <f t="shared" si="27"/>
        <v>1L</v>
      </c>
      <c r="J251" t="str">
        <f t="shared" si="28"/>
        <v xml:space="preserve">1826 </v>
      </c>
      <c r="K251" t="str">
        <f t="shared" si="29"/>
        <v xml:space="preserve">1830 </v>
      </c>
      <c r="L251" t="str">
        <f t="shared" si="30"/>
        <v>Plat 1</v>
      </c>
      <c r="M251" s="8" t="str">
        <f t="shared" si="26"/>
        <v>1</v>
      </c>
      <c r="N251" t="s">
        <v>635</v>
      </c>
    </row>
    <row r="252" spans="2:22" ht="15" customHeight="1" x14ac:dyDescent="0.25">
      <c r="B252" s="3" t="s">
        <v>741</v>
      </c>
      <c r="C252" s="1" t="s">
        <v>742</v>
      </c>
      <c r="D252" s="2" t="s">
        <v>635</v>
      </c>
      <c r="E252" s="1" t="s">
        <v>490</v>
      </c>
      <c r="F252" s="2" t="s">
        <v>636</v>
      </c>
      <c r="G252" s="1" t="s">
        <v>743</v>
      </c>
      <c r="H252" s="1" t="s">
        <v>3</v>
      </c>
      <c r="I252" t="str">
        <f t="shared" si="27"/>
        <v>1L</v>
      </c>
      <c r="J252" t="str">
        <f t="shared" si="28"/>
        <v xml:space="preserve">1831 </v>
      </c>
      <c r="K252" t="str">
        <f t="shared" si="29"/>
        <v xml:space="preserve">1835 </v>
      </c>
      <c r="L252" t="str">
        <f t="shared" si="30"/>
        <v>Plat 4</v>
      </c>
      <c r="M252" s="8" t="str">
        <f t="shared" si="26"/>
        <v>4</v>
      </c>
      <c r="N252" t="s">
        <v>636</v>
      </c>
    </row>
    <row r="253" spans="2:22" ht="15" customHeight="1" x14ac:dyDescent="0.25">
      <c r="B253" s="3" t="s">
        <v>744</v>
      </c>
      <c r="C253" s="1" t="s">
        <v>745</v>
      </c>
      <c r="D253" s="2" t="s">
        <v>636</v>
      </c>
      <c r="E253" s="1" t="s">
        <v>491</v>
      </c>
      <c r="F253" s="2" t="s">
        <v>635</v>
      </c>
      <c r="G253" s="1" t="s">
        <v>746</v>
      </c>
      <c r="H253" s="1" t="s">
        <v>3</v>
      </c>
      <c r="I253" t="str">
        <f t="shared" si="27"/>
        <v>1F</v>
      </c>
      <c r="J253" t="str">
        <f t="shared" si="28"/>
        <v xml:space="preserve">1833 </v>
      </c>
      <c r="K253" t="str">
        <f t="shared" si="29"/>
        <v xml:space="preserve">1837 </v>
      </c>
      <c r="L253" t="str">
        <f t="shared" si="30"/>
        <v>Plat 2</v>
      </c>
      <c r="M253" s="8" t="str">
        <f t="shared" si="26"/>
        <v>2</v>
      </c>
      <c r="N253" t="s">
        <v>635</v>
      </c>
    </row>
    <row r="254" spans="2:22" ht="15" customHeight="1" x14ac:dyDescent="0.25">
      <c r="B254" s="3" t="s">
        <v>747</v>
      </c>
      <c r="C254" s="1" t="s">
        <v>748</v>
      </c>
      <c r="D254" s="2" t="s">
        <v>635</v>
      </c>
      <c r="E254" s="1" t="s">
        <v>489</v>
      </c>
      <c r="F254" s="2" t="s">
        <v>636</v>
      </c>
      <c r="G254" s="1" t="s">
        <v>749</v>
      </c>
      <c r="H254" s="1" t="s">
        <v>3</v>
      </c>
      <c r="I254" t="str">
        <f t="shared" si="27"/>
        <v>1F</v>
      </c>
      <c r="J254" t="str">
        <f t="shared" si="28"/>
        <v xml:space="preserve">1838 </v>
      </c>
      <c r="K254" t="str">
        <f t="shared" si="29"/>
        <v xml:space="preserve">1842 </v>
      </c>
      <c r="L254" t="str">
        <f t="shared" si="30"/>
        <v>Plat 3</v>
      </c>
      <c r="M254" s="8" t="str">
        <f t="shared" si="26"/>
        <v>3</v>
      </c>
      <c r="N254" t="s">
        <v>636</v>
      </c>
    </row>
    <row r="255" spans="2:22" ht="15" customHeight="1" x14ac:dyDescent="0.25">
      <c r="B255" s="3" t="s">
        <v>750</v>
      </c>
      <c r="C255" s="1" t="s">
        <v>751</v>
      </c>
      <c r="D255" s="2" t="s">
        <v>637</v>
      </c>
      <c r="E255" s="1" t="s">
        <v>492</v>
      </c>
      <c r="F255" s="2" t="s">
        <v>635</v>
      </c>
      <c r="G255" s="1" t="s">
        <v>752</v>
      </c>
      <c r="H255" s="1" t="s">
        <v>3</v>
      </c>
      <c r="I255" t="str">
        <f t="shared" si="27"/>
        <v>1J</v>
      </c>
      <c r="J255" t="str">
        <f t="shared" si="28"/>
        <v>1844½</v>
      </c>
      <c r="K255" t="str">
        <f t="shared" si="29"/>
        <v>1848½</v>
      </c>
      <c r="L255" t="str">
        <f t="shared" si="30"/>
        <v>Plat 1</v>
      </c>
      <c r="M255" s="8" t="str">
        <f t="shared" si="26"/>
        <v>1</v>
      </c>
      <c r="N255" t="s">
        <v>635</v>
      </c>
    </row>
    <row r="256" spans="2:22" ht="15" customHeight="1" x14ac:dyDescent="0.25">
      <c r="B256" s="3" t="s">
        <v>753</v>
      </c>
      <c r="C256" s="1" t="s">
        <v>754</v>
      </c>
      <c r="D256" s="2" t="s">
        <v>635</v>
      </c>
      <c r="E256" s="1" t="s">
        <v>490</v>
      </c>
      <c r="F256" s="2" t="s">
        <v>637</v>
      </c>
      <c r="G256" s="1" t="s">
        <v>755</v>
      </c>
      <c r="H256" s="1" t="s">
        <v>3</v>
      </c>
      <c r="I256" t="str">
        <f t="shared" si="27"/>
        <v>1J</v>
      </c>
      <c r="J256" t="str">
        <f t="shared" si="28"/>
        <v xml:space="preserve">1845 </v>
      </c>
      <c r="K256" t="str">
        <f t="shared" si="29"/>
        <v xml:space="preserve">1849 </v>
      </c>
      <c r="L256" t="str">
        <f t="shared" si="30"/>
        <v>Plat 4</v>
      </c>
      <c r="M256" s="8" t="str">
        <f t="shared" si="26"/>
        <v>4</v>
      </c>
      <c r="N256" t="s">
        <v>636</v>
      </c>
      <c r="O256" t="s">
        <v>637</v>
      </c>
    </row>
    <row r="257" spans="2:22" ht="15" customHeight="1" x14ac:dyDescent="0.25">
      <c r="B257" s="3" t="s">
        <v>756</v>
      </c>
      <c r="C257" s="1" t="s">
        <v>757</v>
      </c>
      <c r="D257" s="2" t="s">
        <v>636</v>
      </c>
      <c r="E257" s="1" t="s">
        <v>491</v>
      </c>
      <c r="F257" s="2" t="s">
        <v>635</v>
      </c>
      <c r="G257" s="1" t="s">
        <v>758</v>
      </c>
      <c r="H257" s="1" t="s">
        <v>3</v>
      </c>
      <c r="I257" t="str">
        <f t="shared" si="27"/>
        <v>1H</v>
      </c>
      <c r="J257" t="str">
        <f t="shared" si="28"/>
        <v xml:space="preserve">1851 </v>
      </c>
      <c r="K257" t="str">
        <f t="shared" si="29"/>
        <v xml:space="preserve">1855 </v>
      </c>
      <c r="L257" t="str">
        <f t="shared" si="30"/>
        <v>Plat 2</v>
      </c>
      <c r="M257" s="8" t="str">
        <f t="shared" si="26"/>
        <v>2</v>
      </c>
      <c r="N257" t="s">
        <v>635</v>
      </c>
    </row>
    <row r="258" spans="2:22" ht="15" customHeight="1" x14ac:dyDescent="0.25">
      <c r="B258" s="3" t="s">
        <v>759</v>
      </c>
      <c r="C258" s="1" t="s">
        <v>760</v>
      </c>
      <c r="D258" s="2" t="s">
        <v>635</v>
      </c>
      <c r="E258" s="1" t="s">
        <v>489</v>
      </c>
      <c r="F258" s="2" t="s">
        <v>636</v>
      </c>
      <c r="G258" s="1" t="s">
        <v>761</v>
      </c>
      <c r="H258" s="1" t="s">
        <v>3</v>
      </c>
      <c r="I258" t="str">
        <f t="shared" si="27"/>
        <v>1L</v>
      </c>
      <c r="J258" t="str">
        <f t="shared" si="28"/>
        <v xml:space="preserve">1852 </v>
      </c>
      <c r="K258" t="str">
        <f t="shared" si="29"/>
        <v xml:space="preserve">1856 </v>
      </c>
      <c r="L258" t="str">
        <f t="shared" si="30"/>
        <v>Plat 3</v>
      </c>
      <c r="M258" s="8" t="str">
        <f t="shared" si="26"/>
        <v>3</v>
      </c>
      <c r="N258" t="s">
        <v>636</v>
      </c>
    </row>
    <row r="259" spans="2:22" ht="15" customHeight="1" x14ac:dyDescent="0.25">
      <c r="B259" s="3" t="s">
        <v>762</v>
      </c>
      <c r="C259" s="1" t="s">
        <v>763</v>
      </c>
      <c r="D259" s="2" t="s">
        <v>19</v>
      </c>
      <c r="E259" s="1" t="s">
        <v>492</v>
      </c>
      <c r="F259" s="2" t="s">
        <v>635</v>
      </c>
      <c r="G259" s="1" t="s">
        <v>764</v>
      </c>
      <c r="H259" s="1" t="s">
        <v>3</v>
      </c>
      <c r="I259" t="str">
        <f t="shared" si="27"/>
        <v>1F</v>
      </c>
      <c r="J259" t="str">
        <f t="shared" si="28"/>
        <v xml:space="preserve">1858 </v>
      </c>
      <c r="K259" t="str">
        <f t="shared" si="29"/>
        <v xml:space="preserve">1902 </v>
      </c>
      <c r="L259" t="str">
        <f t="shared" si="30"/>
        <v>Plat 1</v>
      </c>
      <c r="M259" s="8" t="str">
        <f t="shared" ref="M259:M322" si="31">RIGHT(L259,1)</f>
        <v>1</v>
      </c>
      <c r="N259" t="s">
        <v>635</v>
      </c>
    </row>
    <row r="260" spans="2:22" ht="15" customHeight="1" x14ac:dyDescent="0.25">
      <c r="B260" s="3" t="s">
        <v>765</v>
      </c>
      <c r="C260" s="1" t="s">
        <v>766</v>
      </c>
      <c r="D260" s="2" t="s">
        <v>635</v>
      </c>
      <c r="E260" s="1" t="s">
        <v>490</v>
      </c>
      <c r="F260" s="2" t="s">
        <v>636</v>
      </c>
      <c r="G260" s="1" t="s">
        <v>767</v>
      </c>
      <c r="H260" s="1" t="s">
        <v>3</v>
      </c>
      <c r="I260" t="str">
        <f t="shared" si="27"/>
        <v>1H</v>
      </c>
      <c r="J260" t="str">
        <f t="shared" si="28"/>
        <v xml:space="preserve">1859 </v>
      </c>
      <c r="K260" t="str">
        <f t="shared" si="29"/>
        <v xml:space="preserve">1903 </v>
      </c>
      <c r="L260" t="str">
        <f t="shared" si="30"/>
        <v>Plat 4</v>
      </c>
      <c r="M260" s="8" t="str">
        <f t="shared" si="31"/>
        <v>4</v>
      </c>
      <c r="N260" t="s">
        <v>636</v>
      </c>
    </row>
    <row r="261" spans="2:22" ht="15" customHeight="1" x14ac:dyDescent="0.25">
      <c r="B261" s="3" t="s">
        <v>768</v>
      </c>
      <c r="C261" s="1" t="s">
        <v>769</v>
      </c>
      <c r="D261" s="2" t="s">
        <v>636</v>
      </c>
      <c r="E261" s="1" t="s">
        <v>491</v>
      </c>
      <c r="F261" s="2" t="s">
        <v>635</v>
      </c>
      <c r="G261" s="1" t="s">
        <v>770</v>
      </c>
      <c r="H261" s="1" t="s">
        <v>3</v>
      </c>
      <c r="I261" t="str">
        <f t="shared" si="27"/>
        <v>1L</v>
      </c>
      <c r="J261" t="str">
        <f t="shared" si="28"/>
        <v xml:space="preserve">1905 </v>
      </c>
      <c r="K261" t="str">
        <f t="shared" si="29"/>
        <v xml:space="preserve">1909 </v>
      </c>
      <c r="L261" t="str">
        <f t="shared" si="30"/>
        <v>Plat 2</v>
      </c>
      <c r="M261" s="8" t="str">
        <f t="shared" si="31"/>
        <v>2</v>
      </c>
      <c r="N261" t="s">
        <v>635</v>
      </c>
    </row>
    <row r="262" spans="2:22" ht="15" customHeight="1" x14ac:dyDescent="0.25">
      <c r="B262" s="3" t="s">
        <v>771</v>
      </c>
      <c r="C262" s="1" t="s">
        <v>772</v>
      </c>
      <c r="D262" s="2" t="s">
        <v>635</v>
      </c>
      <c r="E262" s="1" t="s">
        <v>489</v>
      </c>
      <c r="F262" s="2" t="s">
        <v>637</v>
      </c>
      <c r="G262" s="1" t="s">
        <v>773</v>
      </c>
      <c r="H262" s="1" t="s">
        <v>3</v>
      </c>
      <c r="I262" t="str">
        <f t="shared" si="27"/>
        <v>1J</v>
      </c>
      <c r="J262" t="str">
        <f t="shared" si="28"/>
        <v xml:space="preserve">1910 </v>
      </c>
      <c r="K262" t="str">
        <f t="shared" si="29"/>
        <v xml:space="preserve">1914 </v>
      </c>
      <c r="L262" t="str">
        <f t="shared" si="30"/>
        <v>Plat 3</v>
      </c>
      <c r="M262" s="8" t="str">
        <f t="shared" si="31"/>
        <v>3</v>
      </c>
      <c r="N262" t="s">
        <v>636</v>
      </c>
      <c r="O262" t="s">
        <v>637</v>
      </c>
    </row>
    <row r="263" spans="2:22" ht="15" customHeight="1" x14ac:dyDescent="0.25">
      <c r="B263" s="3" t="s">
        <v>774</v>
      </c>
      <c r="C263" s="1" t="s">
        <v>775</v>
      </c>
      <c r="D263" s="2" t="s">
        <v>636</v>
      </c>
      <c r="E263" s="1" t="s">
        <v>492</v>
      </c>
      <c r="F263" s="2" t="s">
        <v>635</v>
      </c>
      <c r="G263" s="1" t="s">
        <v>776</v>
      </c>
      <c r="H263" s="1" t="s">
        <v>3</v>
      </c>
      <c r="I263" t="str">
        <f t="shared" si="27"/>
        <v>1H</v>
      </c>
      <c r="J263" t="str">
        <f t="shared" si="28"/>
        <v xml:space="preserve">1912 </v>
      </c>
      <c r="K263" t="str">
        <f t="shared" si="29"/>
        <v xml:space="preserve">1916 </v>
      </c>
      <c r="L263" t="str">
        <f t="shared" si="30"/>
        <v>Plat 1</v>
      </c>
      <c r="M263" s="8" t="str">
        <f t="shared" si="31"/>
        <v>1</v>
      </c>
      <c r="N263" t="s">
        <v>635</v>
      </c>
    </row>
    <row r="264" spans="2:22" ht="15" customHeight="1" x14ac:dyDescent="0.25">
      <c r="B264" s="3" t="s">
        <v>777</v>
      </c>
      <c r="C264" s="1" t="s">
        <v>778</v>
      </c>
      <c r="D264" s="2" t="s">
        <v>635</v>
      </c>
      <c r="E264" s="1" t="s">
        <v>490</v>
      </c>
      <c r="F264" s="2" t="s">
        <v>636</v>
      </c>
      <c r="G264" s="1" t="s">
        <v>779</v>
      </c>
      <c r="H264" s="1" t="s">
        <v>3</v>
      </c>
      <c r="I264" t="str">
        <f t="shared" si="27"/>
        <v>1H</v>
      </c>
      <c r="J264" t="str">
        <f t="shared" si="28"/>
        <v xml:space="preserve">1917 </v>
      </c>
      <c r="K264" t="str">
        <f t="shared" si="29"/>
        <v xml:space="preserve">1921 </v>
      </c>
      <c r="L264" t="str">
        <f t="shared" si="30"/>
        <v>Plat 4</v>
      </c>
      <c r="M264" s="8" t="str">
        <f t="shared" si="31"/>
        <v>4</v>
      </c>
      <c r="N264" t="s">
        <v>636</v>
      </c>
    </row>
    <row r="265" spans="2:22" ht="15" customHeight="1" x14ac:dyDescent="0.25">
      <c r="B265" s="3" t="s">
        <v>780</v>
      </c>
      <c r="C265" s="1" t="s">
        <v>781</v>
      </c>
      <c r="D265" s="2" t="s">
        <v>637</v>
      </c>
      <c r="E265" s="1" t="s">
        <v>491</v>
      </c>
      <c r="F265" s="2" t="s">
        <v>635</v>
      </c>
      <c r="G265" s="1" t="s">
        <v>782</v>
      </c>
      <c r="H265" s="1" t="s">
        <v>3</v>
      </c>
      <c r="I265" t="str">
        <f t="shared" si="27"/>
        <v>1J</v>
      </c>
      <c r="J265" t="str">
        <f t="shared" si="28"/>
        <v xml:space="preserve">1919 </v>
      </c>
      <c r="K265" t="str">
        <f t="shared" si="29"/>
        <v xml:space="preserve">1923 </v>
      </c>
      <c r="L265" t="str">
        <f t="shared" si="30"/>
        <v>Plat 2</v>
      </c>
      <c r="M265" s="8" t="str">
        <f t="shared" si="31"/>
        <v>2</v>
      </c>
      <c r="N265" t="s">
        <v>635</v>
      </c>
    </row>
    <row r="266" spans="2:22" ht="15" customHeight="1" x14ac:dyDescent="0.25">
      <c r="B266" s="3" t="s">
        <v>783</v>
      </c>
      <c r="C266" s="1" t="s">
        <v>784</v>
      </c>
      <c r="D266" s="2" t="s">
        <v>635</v>
      </c>
      <c r="E266" s="1" t="s">
        <v>489</v>
      </c>
      <c r="F266" s="2" t="s">
        <v>19</v>
      </c>
      <c r="G266" s="1" t="s">
        <v>785</v>
      </c>
      <c r="H266" s="1" t="s">
        <v>3</v>
      </c>
      <c r="I266" t="str">
        <f t="shared" si="27"/>
        <v>1F</v>
      </c>
      <c r="J266" t="str">
        <f t="shared" si="28"/>
        <v xml:space="preserve">1924 </v>
      </c>
      <c r="K266" t="str">
        <f t="shared" si="29"/>
        <v xml:space="preserve">1928 </v>
      </c>
      <c r="L266" t="str">
        <f t="shared" si="30"/>
        <v>Plat 3</v>
      </c>
      <c r="M266" s="8" t="str">
        <f t="shared" si="31"/>
        <v>3</v>
      </c>
      <c r="N266" t="s">
        <v>636</v>
      </c>
      <c r="O266" t="s">
        <v>1028</v>
      </c>
      <c r="P266" t="s">
        <v>1029</v>
      </c>
      <c r="Q266" t="s">
        <v>1030</v>
      </c>
      <c r="R266" t="s">
        <v>1031</v>
      </c>
      <c r="S266" t="s">
        <v>1032</v>
      </c>
      <c r="T266" t="s">
        <v>1033</v>
      </c>
      <c r="U266" t="s">
        <v>1034</v>
      </c>
      <c r="V266" t="s">
        <v>19</v>
      </c>
    </row>
    <row r="267" spans="2:22" ht="15" customHeight="1" x14ac:dyDescent="0.25">
      <c r="B267" s="3" t="s">
        <v>786</v>
      </c>
      <c r="C267" s="1" t="s">
        <v>787</v>
      </c>
      <c r="D267" s="2" t="s">
        <v>636</v>
      </c>
      <c r="E267" s="1" t="s">
        <v>492</v>
      </c>
      <c r="F267" s="2" t="s">
        <v>635</v>
      </c>
      <c r="G267" s="1" t="s">
        <v>788</v>
      </c>
      <c r="H267" s="1" t="s">
        <v>3</v>
      </c>
      <c r="I267" t="str">
        <f t="shared" si="27"/>
        <v>1L</v>
      </c>
      <c r="J267" t="str">
        <f t="shared" si="28"/>
        <v xml:space="preserve">1926 </v>
      </c>
      <c r="K267" t="str">
        <f t="shared" si="29"/>
        <v xml:space="preserve">1930 </v>
      </c>
      <c r="L267" t="str">
        <f t="shared" si="30"/>
        <v>Plat 1</v>
      </c>
      <c r="M267" s="8" t="str">
        <f t="shared" si="31"/>
        <v>1</v>
      </c>
      <c r="N267" t="s">
        <v>635</v>
      </c>
    </row>
    <row r="268" spans="2:22" ht="15" customHeight="1" x14ac:dyDescent="0.25">
      <c r="B268" s="3" t="s">
        <v>789</v>
      </c>
      <c r="C268" s="1" t="s">
        <v>790</v>
      </c>
      <c r="D268" s="2" t="s">
        <v>635</v>
      </c>
      <c r="E268" s="1" t="s">
        <v>490</v>
      </c>
      <c r="F268" s="2" t="s">
        <v>636</v>
      </c>
      <c r="G268" s="1" t="s">
        <v>791</v>
      </c>
      <c r="H268" s="1" t="s">
        <v>3</v>
      </c>
      <c r="I268" t="str">
        <f t="shared" si="27"/>
        <v>1L</v>
      </c>
      <c r="J268" t="str">
        <f t="shared" si="28"/>
        <v xml:space="preserve">1931 </v>
      </c>
      <c r="K268" t="str">
        <f t="shared" si="29"/>
        <v xml:space="preserve">1935 </v>
      </c>
      <c r="L268" t="str">
        <f t="shared" si="30"/>
        <v>Plat 4</v>
      </c>
      <c r="M268" s="8" t="str">
        <f t="shared" si="31"/>
        <v>4</v>
      </c>
      <c r="N268" t="s">
        <v>636</v>
      </c>
    </row>
    <row r="269" spans="2:22" ht="15" customHeight="1" x14ac:dyDescent="0.25">
      <c r="B269" s="3" t="s">
        <v>792</v>
      </c>
      <c r="C269" s="1" t="s">
        <v>793</v>
      </c>
      <c r="D269" s="2" t="s">
        <v>636</v>
      </c>
      <c r="E269" s="1" t="s">
        <v>491</v>
      </c>
      <c r="F269" s="2" t="s">
        <v>635</v>
      </c>
      <c r="G269" s="1" t="s">
        <v>794</v>
      </c>
      <c r="H269" s="1" t="s">
        <v>3</v>
      </c>
      <c r="I269" t="str">
        <f t="shared" si="27"/>
        <v>1F</v>
      </c>
      <c r="J269" t="str">
        <f t="shared" si="28"/>
        <v xml:space="preserve">1933 </v>
      </c>
      <c r="K269" t="str">
        <f t="shared" si="29"/>
        <v xml:space="preserve">1937 </v>
      </c>
      <c r="L269" t="str">
        <f t="shared" si="30"/>
        <v>Plat 2</v>
      </c>
      <c r="M269" s="8" t="str">
        <f t="shared" si="31"/>
        <v>2</v>
      </c>
      <c r="N269" t="s">
        <v>635</v>
      </c>
    </row>
    <row r="270" spans="2:22" ht="15" customHeight="1" x14ac:dyDescent="0.25">
      <c r="B270" s="3" t="s">
        <v>795</v>
      </c>
      <c r="C270" s="1" t="s">
        <v>796</v>
      </c>
      <c r="D270" s="2" t="s">
        <v>635</v>
      </c>
      <c r="E270" s="1" t="s">
        <v>489</v>
      </c>
      <c r="F270" s="2" t="s">
        <v>636</v>
      </c>
      <c r="G270" s="1" t="s">
        <v>797</v>
      </c>
      <c r="H270" s="1" t="s">
        <v>3</v>
      </c>
      <c r="I270" t="str">
        <f t="shared" si="27"/>
        <v>1F</v>
      </c>
      <c r="J270" t="str">
        <f t="shared" si="28"/>
        <v xml:space="preserve">1938 </v>
      </c>
      <c r="K270" t="str">
        <f t="shared" si="29"/>
        <v xml:space="preserve">1942 </v>
      </c>
      <c r="L270" t="str">
        <f t="shared" si="30"/>
        <v>Plat 3</v>
      </c>
      <c r="M270" s="8" t="str">
        <f t="shared" si="31"/>
        <v>3</v>
      </c>
      <c r="N270" t="s">
        <v>636</v>
      </c>
    </row>
    <row r="271" spans="2:22" ht="15" customHeight="1" x14ac:dyDescent="0.25">
      <c r="B271" s="3" t="s">
        <v>798</v>
      </c>
      <c r="C271" s="1" t="s">
        <v>799</v>
      </c>
      <c r="D271" s="2" t="s">
        <v>637</v>
      </c>
      <c r="E271" s="1" t="s">
        <v>492</v>
      </c>
      <c r="F271" s="2" t="s">
        <v>635</v>
      </c>
      <c r="G271" s="1" t="s">
        <v>800</v>
      </c>
      <c r="H271" s="1" t="s">
        <v>3</v>
      </c>
      <c r="I271" t="str">
        <f t="shared" si="27"/>
        <v>1J</v>
      </c>
      <c r="J271" t="str">
        <f t="shared" si="28"/>
        <v>1944½</v>
      </c>
      <c r="K271" t="str">
        <f t="shared" si="29"/>
        <v>1948½</v>
      </c>
      <c r="L271" t="str">
        <f t="shared" si="30"/>
        <v>Plat 1</v>
      </c>
      <c r="M271" s="8" t="str">
        <f t="shared" si="31"/>
        <v>1</v>
      </c>
      <c r="N271" t="s">
        <v>635</v>
      </c>
    </row>
    <row r="272" spans="2:22" ht="15" customHeight="1" x14ac:dyDescent="0.25">
      <c r="B272" s="3" t="s">
        <v>801</v>
      </c>
      <c r="C272" s="1" t="s">
        <v>802</v>
      </c>
      <c r="D272" s="2" t="s">
        <v>635</v>
      </c>
      <c r="E272" s="1" t="s">
        <v>490</v>
      </c>
      <c r="F272" s="2" t="s">
        <v>637</v>
      </c>
      <c r="G272" s="1" t="s">
        <v>803</v>
      </c>
      <c r="H272" s="1" t="s">
        <v>3</v>
      </c>
      <c r="I272" t="str">
        <f t="shared" si="27"/>
        <v>1J</v>
      </c>
      <c r="J272" t="str">
        <f t="shared" si="28"/>
        <v xml:space="preserve">1945 </v>
      </c>
      <c r="K272" t="str">
        <f t="shared" si="29"/>
        <v xml:space="preserve">1949 </v>
      </c>
      <c r="L272" t="str">
        <f t="shared" si="30"/>
        <v>Plat 4</v>
      </c>
      <c r="M272" s="8" t="str">
        <f t="shared" si="31"/>
        <v>4</v>
      </c>
      <c r="N272" t="s">
        <v>636</v>
      </c>
      <c r="O272" t="s">
        <v>637</v>
      </c>
    </row>
    <row r="273" spans="2:22" ht="15" customHeight="1" x14ac:dyDescent="0.25">
      <c r="B273" s="3" t="s">
        <v>804</v>
      </c>
      <c r="C273" s="1" t="s">
        <v>805</v>
      </c>
      <c r="D273" s="2" t="s">
        <v>636</v>
      </c>
      <c r="E273" s="1" t="s">
        <v>491</v>
      </c>
      <c r="F273" s="2" t="s">
        <v>635</v>
      </c>
      <c r="G273" s="1" t="s">
        <v>806</v>
      </c>
      <c r="H273" s="1" t="s">
        <v>3</v>
      </c>
      <c r="I273" t="str">
        <f t="shared" si="27"/>
        <v>1H</v>
      </c>
      <c r="J273" t="str">
        <f t="shared" si="28"/>
        <v xml:space="preserve">1951 </v>
      </c>
      <c r="K273" t="str">
        <f t="shared" si="29"/>
        <v xml:space="preserve">1955 </v>
      </c>
      <c r="L273" t="str">
        <f t="shared" si="30"/>
        <v>Plat 2</v>
      </c>
      <c r="M273" s="8" t="str">
        <f t="shared" si="31"/>
        <v>2</v>
      </c>
      <c r="N273" t="s">
        <v>635</v>
      </c>
    </row>
    <row r="274" spans="2:22" ht="15" customHeight="1" x14ac:dyDescent="0.25">
      <c r="B274" s="3" t="s">
        <v>807</v>
      </c>
      <c r="C274" s="1" t="s">
        <v>808</v>
      </c>
      <c r="D274" s="2" t="s">
        <v>635</v>
      </c>
      <c r="E274" s="1" t="s">
        <v>489</v>
      </c>
      <c r="F274" s="2" t="s">
        <v>636</v>
      </c>
      <c r="G274" s="1" t="s">
        <v>809</v>
      </c>
      <c r="H274" s="1" t="s">
        <v>3</v>
      </c>
      <c r="I274" t="str">
        <f t="shared" si="27"/>
        <v>1L</v>
      </c>
      <c r="J274" t="str">
        <f t="shared" si="28"/>
        <v xml:space="preserve">1952 </v>
      </c>
      <c r="K274" t="str">
        <f t="shared" si="29"/>
        <v xml:space="preserve">1956 </v>
      </c>
      <c r="L274" t="str">
        <f t="shared" si="30"/>
        <v>Plat 3</v>
      </c>
      <c r="M274" s="8" t="str">
        <f t="shared" si="31"/>
        <v>3</v>
      </c>
      <c r="N274" t="s">
        <v>636</v>
      </c>
    </row>
    <row r="275" spans="2:22" ht="15" customHeight="1" x14ac:dyDescent="0.25">
      <c r="B275" s="3" t="s">
        <v>810</v>
      </c>
      <c r="C275" s="1" t="s">
        <v>811</v>
      </c>
      <c r="D275" s="2" t="s">
        <v>19</v>
      </c>
      <c r="E275" s="1" t="s">
        <v>492</v>
      </c>
      <c r="F275" s="2" t="s">
        <v>635</v>
      </c>
      <c r="G275" s="1" t="s">
        <v>812</v>
      </c>
      <c r="H275" s="1" t="s">
        <v>3</v>
      </c>
      <c r="I275" t="str">
        <f t="shared" si="27"/>
        <v>1F</v>
      </c>
      <c r="J275" t="str">
        <f t="shared" si="28"/>
        <v xml:space="preserve">1958 </v>
      </c>
      <c r="K275" t="str">
        <f t="shared" si="29"/>
        <v xml:space="preserve">2002 </v>
      </c>
      <c r="L275" t="str">
        <f t="shared" si="30"/>
        <v>Plat 1</v>
      </c>
      <c r="M275" s="8" t="str">
        <f t="shared" si="31"/>
        <v>1</v>
      </c>
      <c r="N275" t="s">
        <v>635</v>
      </c>
    </row>
    <row r="276" spans="2:22" ht="15" customHeight="1" x14ac:dyDescent="0.25">
      <c r="B276" s="3" t="s">
        <v>813</v>
      </c>
      <c r="C276" s="1" t="s">
        <v>814</v>
      </c>
      <c r="D276" s="2" t="s">
        <v>635</v>
      </c>
      <c r="E276" s="1" t="s">
        <v>490</v>
      </c>
      <c r="F276" s="2" t="s">
        <v>636</v>
      </c>
      <c r="G276" s="1" t="s">
        <v>815</v>
      </c>
      <c r="H276" s="1" t="s">
        <v>3</v>
      </c>
      <c r="I276" t="str">
        <f t="shared" si="27"/>
        <v>1H</v>
      </c>
      <c r="J276" t="str">
        <f t="shared" si="28"/>
        <v xml:space="preserve">1959 </v>
      </c>
      <c r="K276" t="str">
        <f t="shared" si="29"/>
        <v xml:space="preserve">2003 </v>
      </c>
      <c r="L276" t="str">
        <f t="shared" si="30"/>
        <v>Plat 4</v>
      </c>
      <c r="M276" s="8" t="str">
        <f t="shared" si="31"/>
        <v>4</v>
      </c>
      <c r="N276" t="s">
        <v>636</v>
      </c>
    </row>
    <row r="277" spans="2:22" ht="15" customHeight="1" x14ac:dyDescent="0.25">
      <c r="B277" s="3" t="s">
        <v>816</v>
      </c>
      <c r="C277" s="1" t="s">
        <v>817</v>
      </c>
      <c r="D277" s="2" t="s">
        <v>636</v>
      </c>
      <c r="E277" s="1" t="s">
        <v>491</v>
      </c>
      <c r="F277" s="2" t="s">
        <v>635</v>
      </c>
      <c r="G277" s="1" t="s">
        <v>818</v>
      </c>
      <c r="H277" s="1" t="s">
        <v>3</v>
      </c>
      <c r="I277" t="str">
        <f t="shared" si="27"/>
        <v>1L</v>
      </c>
      <c r="J277" t="str">
        <f t="shared" si="28"/>
        <v xml:space="preserve">2005 </v>
      </c>
      <c r="K277" t="str">
        <f t="shared" si="29"/>
        <v xml:space="preserve">2009 </v>
      </c>
      <c r="L277" t="str">
        <f t="shared" si="30"/>
        <v>Plat 2</v>
      </c>
      <c r="M277" s="8" t="str">
        <f t="shared" si="31"/>
        <v>2</v>
      </c>
      <c r="N277" t="s">
        <v>635</v>
      </c>
    </row>
    <row r="278" spans="2:22" ht="15" customHeight="1" x14ac:dyDescent="0.25">
      <c r="B278" s="3" t="s">
        <v>819</v>
      </c>
      <c r="C278" s="1" t="s">
        <v>820</v>
      </c>
      <c r="D278" s="2" t="s">
        <v>635</v>
      </c>
      <c r="E278" s="1" t="s">
        <v>489</v>
      </c>
      <c r="F278" s="2" t="s">
        <v>637</v>
      </c>
      <c r="G278" s="1" t="s">
        <v>821</v>
      </c>
      <c r="H278" s="1" t="s">
        <v>3</v>
      </c>
      <c r="I278" t="str">
        <f t="shared" si="27"/>
        <v>1J</v>
      </c>
      <c r="J278" t="str">
        <f t="shared" si="28"/>
        <v xml:space="preserve">2010 </v>
      </c>
      <c r="K278" t="str">
        <f t="shared" si="29"/>
        <v xml:space="preserve">2014 </v>
      </c>
      <c r="L278" t="str">
        <f t="shared" si="30"/>
        <v>Plat 3</v>
      </c>
      <c r="M278" s="8" t="str">
        <f t="shared" si="31"/>
        <v>3</v>
      </c>
      <c r="N278" t="s">
        <v>636</v>
      </c>
      <c r="O278" t="s">
        <v>637</v>
      </c>
    </row>
    <row r="279" spans="2:22" ht="15" customHeight="1" x14ac:dyDescent="0.25">
      <c r="B279" s="3" t="s">
        <v>822</v>
      </c>
      <c r="C279" s="1" t="s">
        <v>823</v>
      </c>
      <c r="D279" s="2" t="s">
        <v>636</v>
      </c>
      <c r="E279" s="1" t="s">
        <v>492</v>
      </c>
      <c r="F279" s="2" t="s">
        <v>635</v>
      </c>
      <c r="G279" s="1" t="s">
        <v>824</v>
      </c>
      <c r="H279" s="1" t="s">
        <v>3</v>
      </c>
      <c r="I279" t="str">
        <f t="shared" si="27"/>
        <v>1H</v>
      </c>
      <c r="J279" t="str">
        <f t="shared" si="28"/>
        <v xml:space="preserve">2012 </v>
      </c>
      <c r="K279" t="str">
        <f t="shared" si="29"/>
        <v xml:space="preserve">2016 </v>
      </c>
      <c r="L279" t="str">
        <f t="shared" si="30"/>
        <v>Plat 1</v>
      </c>
      <c r="M279" s="8" t="str">
        <f t="shared" si="31"/>
        <v>1</v>
      </c>
      <c r="N279" t="s">
        <v>635</v>
      </c>
    </row>
    <row r="280" spans="2:22" ht="15" customHeight="1" x14ac:dyDescent="0.25">
      <c r="B280" s="3" t="s">
        <v>825</v>
      </c>
      <c r="C280" s="1" t="s">
        <v>826</v>
      </c>
      <c r="D280" s="2" t="s">
        <v>635</v>
      </c>
      <c r="E280" s="1" t="s">
        <v>490</v>
      </c>
      <c r="F280" s="2" t="s">
        <v>636</v>
      </c>
      <c r="G280" s="1" t="s">
        <v>827</v>
      </c>
      <c r="H280" s="1" t="s">
        <v>3</v>
      </c>
      <c r="I280" t="str">
        <f t="shared" si="27"/>
        <v>1H</v>
      </c>
      <c r="J280" t="str">
        <f t="shared" si="28"/>
        <v xml:space="preserve">2017 </v>
      </c>
      <c r="K280" t="str">
        <f t="shared" si="29"/>
        <v xml:space="preserve">2021 </v>
      </c>
      <c r="L280" t="str">
        <f t="shared" si="30"/>
        <v>Plat 4</v>
      </c>
      <c r="M280" s="8" t="str">
        <f t="shared" si="31"/>
        <v>4</v>
      </c>
      <c r="N280" t="s">
        <v>636</v>
      </c>
    </row>
    <row r="281" spans="2:22" ht="15" customHeight="1" x14ac:dyDescent="0.25">
      <c r="B281" s="3" t="s">
        <v>828</v>
      </c>
      <c r="C281" s="1" t="s">
        <v>829</v>
      </c>
      <c r="D281" s="2" t="s">
        <v>637</v>
      </c>
      <c r="E281" s="1" t="s">
        <v>491</v>
      </c>
      <c r="F281" s="2" t="s">
        <v>635</v>
      </c>
      <c r="G281" s="1" t="s">
        <v>830</v>
      </c>
      <c r="H281" s="1" t="s">
        <v>3</v>
      </c>
      <c r="I281" t="str">
        <f t="shared" si="27"/>
        <v>1J</v>
      </c>
      <c r="J281" t="str">
        <f t="shared" si="28"/>
        <v xml:space="preserve">2019 </v>
      </c>
      <c r="K281" t="str">
        <f t="shared" si="29"/>
        <v xml:space="preserve">2023 </v>
      </c>
      <c r="L281" t="str">
        <f t="shared" si="30"/>
        <v>Plat 2</v>
      </c>
      <c r="M281" s="8" t="str">
        <f t="shared" si="31"/>
        <v>2</v>
      </c>
      <c r="N281" t="s">
        <v>635</v>
      </c>
    </row>
    <row r="282" spans="2:22" ht="15" customHeight="1" x14ac:dyDescent="0.25">
      <c r="B282" s="3" t="s">
        <v>831</v>
      </c>
      <c r="C282" s="1" t="s">
        <v>832</v>
      </c>
      <c r="D282" s="2" t="s">
        <v>635</v>
      </c>
      <c r="E282" s="1" t="s">
        <v>489</v>
      </c>
      <c r="F282" s="2" t="s">
        <v>19</v>
      </c>
      <c r="G282" s="1" t="s">
        <v>833</v>
      </c>
      <c r="H282" s="1" t="s">
        <v>3</v>
      </c>
      <c r="I282" t="str">
        <f t="shared" si="27"/>
        <v>1F</v>
      </c>
      <c r="J282" t="str">
        <f t="shared" si="28"/>
        <v xml:space="preserve">2024 </v>
      </c>
      <c r="K282" t="str">
        <f t="shared" si="29"/>
        <v xml:space="preserve">2028 </v>
      </c>
      <c r="L282" t="str">
        <f t="shared" si="30"/>
        <v>Plat 3</v>
      </c>
      <c r="M282" s="8" t="str">
        <f t="shared" si="31"/>
        <v>3</v>
      </c>
      <c r="N282" t="s">
        <v>636</v>
      </c>
      <c r="O282" t="s">
        <v>1028</v>
      </c>
      <c r="P282" t="s">
        <v>1029</v>
      </c>
      <c r="Q282" t="s">
        <v>1030</v>
      </c>
      <c r="R282" t="s">
        <v>1031</v>
      </c>
      <c r="S282" t="s">
        <v>1032</v>
      </c>
      <c r="T282" t="s">
        <v>1033</v>
      </c>
      <c r="U282" t="s">
        <v>1034</v>
      </c>
      <c r="V282" t="s">
        <v>19</v>
      </c>
    </row>
    <row r="283" spans="2:22" ht="15" customHeight="1" x14ac:dyDescent="0.25">
      <c r="B283" s="3" t="s">
        <v>834</v>
      </c>
      <c r="C283" s="1" t="s">
        <v>835</v>
      </c>
      <c r="D283" s="2" t="s">
        <v>636</v>
      </c>
      <c r="E283" s="1" t="s">
        <v>492</v>
      </c>
      <c r="F283" s="2" t="s">
        <v>635</v>
      </c>
      <c r="G283" s="1" t="s">
        <v>836</v>
      </c>
      <c r="H283" s="1" t="s">
        <v>3</v>
      </c>
      <c r="I283" t="str">
        <f t="shared" si="27"/>
        <v>1L</v>
      </c>
      <c r="J283" t="str">
        <f t="shared" si="28"/>
        <v xml:space="preserve">2026 </v>
      </c>
      <c r="K283" t="str">
        <f t="shared" si="29"/>
        <v xml:space="preserve">2030 </v>
      </c>
      <c r="L283" t="str">
        <f t="shared" si="30"/>
        <v>Plat 1</v>
      </c>
      <c r="M283" s="8" t="str">
        <f t="shared" si="31"/>
        <v>1</v>
      </c>
      <c r="N283" t="s">
        <v>635</v>
      </c>
    </row>
    <row r="284" spans="2:22" ht="15" customHeight="1" x14ac:dyDescent="0.25">
      <c r="B284" s="3" t="s">
        <v>837</v>
      </c>
      <c r="C284" s="1" t="s">
        <v>838</v>
      </c>
      <c r="D284" s="2" t="s">
        <v>635</v>
      </c>
      <c r="E284" s="1" t="s">
        <v>490</v>
      </c>
      <c r="F284" s="2" t="s">
        <v>636</v>
      </c>
      <c r="G284" s="1" t="s">
        <v>839</v>
      </c>
      <c r="H284" s="1" t="s">
        <v>3</v>
      </c>
      <c r="I284" t="str">
        <f t="shared" si="27"/>
        <v>1L</v>
      </c>
      <c r="J284" t="str">
        <f t="shared" si="28"/>
        <v xml:space="preserve">2031 </v>
      </c>
      <c r="K284" t="str">
        <f t="shared" si="29"/>
        <v xml:space="preserve">2035 </v>
      </c>
      <c r="L284" t="str">
        <f t="shared" si="30"/>
        <v>Plat 4</v>
      </c>
      <c r="M284" s="8" t="str">
        <f t="shared" si="31"/>
        <v>4</v>
      </c>
      <c r="N284" t="s">
        <v>636</v>
      </c>
    </row>
    <row r="285" spans="2:22" ht="15" customHeight="1" x14ac:dyDescent="0.25">
      <c r="B285" s="3" t="s">
        <v>840</v>
      </c>
      <c r="C285" s="1" t="s">
        <v>841</v>
      </c>
      <c r="D285" s="2" t="s">
        <v>636</v>
      </c>
      <c r="E285" s="1" t="s">
        <v>491</v>
      </c>
      <c r="F285" s="2" t="s">
        <v>635</v>
      </c>
      <c r="G285" s="1" t="s">
        <v>842</v>
      </c>
      <c r="H285" s="1" t="s">
        <v>3</v>
      </c>
      <c r="I285" t="str">
        <f t="shared" si="27"/>
        <v>1F</v>
      </c>
      <c r="J285" t="str">
        <f t="shared" si="28"/>
        <v xml:space="preserve">2033 </v>
      </c>
      <c r="K285" t="str">
        <f t="shared" si="29"/>
        <v xml:space="preserve">2037 </v>
      </c>
      <c r="L285" t="str">
        <f t="shared" si="30"/>
        <v>Plat 2</v>
      </c>
      <c r="M285" s="8" t="str">
        <f t="shared" si="31"/>
        <v>2</v>
      </c>
      <c r="N285" t="s">
        <v>635</v>
      </c>
    </row>
    <row r="286" spans="2:22" ht="15" customHeight="1" x14ac:dyDescent="0.25">
      <c r="B286" s="3" t="s">
        <v>843</v>
      </c>
      <c r="C286" s="1" t="s">
        <v>844</v>
      </c>
      <c r="D286" s="2" t="s">
        <v>635</v>
      </c>
      <c r="E286" s="1" t="s">
        <v>489</v>
      </c>
      <c r="F286" s="2" t="s">
        <v>636</v>
      </c>
      <c r="G286" s="1" t="s">
        <v>845</v>
      </c>
      <c r="H286" s="1" t="s">
        <v>3</v>
      </c>
      <c r="I286" t="str">
        <f t="shared" si="27"/>
        <v>1F</v>
      </c>
      <c r="J286" t="str">
        <f t="shared" si="28"/>
        <v xml:space="preserve">2038 </v>
      </c>
      <c r="K286" t="str">
        <f t="shared" si="29"/>
        <v xml:space="preserve">2042 </v>
      </c>
      <c r="L286" t="str">
        <f t="shared" si="30"/>
        <v>Plat 3</v>
      </c>
      <c r="M286" s="8" t="str">
        <f t="shared" si="31"/>
        <v>3</v>
      </c>
      <c r="N286" t="s">
        <v>636</v>
      </c>
    </row>
    <row r="287" spans="2:22" ht="15" customHeight="1" x14ac:dyDescent="0.25">
      <c r="B287" s="3" t="s">
        <v>846</v>
      </c>
      <c r="C287" s="1" t="s">
        <v>847</v>
      </c>
      <c r="D287" s="2" t="s">
        <v>637</v>
      </c>
      <c r="E287" s="1" t="s">
        <v>492</v>
      </c>
      <c r="F287" s="2" t="s">
        <v>635</v>
      </c>
      <c r="G287" s="1" t="s">
        <v>848</v>
      </c>
      <c r="H287" s="1" t="s">
        <v>3</v>
      </c>
      <c r="I287" t="str">
        <f t="shared" si="27"/>
        <v>1J</v>
      </c>
      <c r="J287" t="str">
        <f t="shared" si="28"/>
        <v>2044½</v>
      </c>
      <c r="K287" t="str">
        <f t="shared" si="29"/>
        <v>2048½</v>
      </c>
      <c r="L287" t="str">
        <f t="shared" si="30"/>
        <v>Plat 1</v>
      </c>
      <c r="M287" s="8" t="str">
        <f t="shared" si="31"/>
        <v>1</v>
      </c>
      <c r="N287" t="s">
        <v>635</v>
      </c>
    </row>
    <row r="288" spans="2:22" ht="15" customHeight="1" x14ac:dyDescent="0.25">
      <c r="B288" s="3" t="s">
        <v>849</v>
      </c>
      <c r="C288" s="1" t="s">
        <v>850</v>
      </c>
      <c r="D288" s="2" t="s">
        <v>635</v>
      </c>
      <c r="E288" s="1" t="s">
        <v>490</v>
      </c>
      <c r="F288" s="2" t="s">
        <v>637</v>
      </c>
      <c r="G288" s="1" t="s">
        <v>851</v>
      </c>
      <c r="H288" s="1" t="s">
        <v>3</v>
      </c>
      <c r="I288" t="str">
        <f t="shared" si="27"/>
        <v>1J</v>
      </c>
      <c r="J288" t="str">
        <f t="shared" si="28"/>
        <v xml:space="preserve">2045 </v>
      </c>
      <c r="K288" t="str">
        <f t="shared" si="29"/>
        <v xml:space="preserve">2049 </v>
      </c>
      <c r="L288" t="str">
        <f t="shared" si="30"/>
        <v>Plat 4</v>
      </c>
      <c r="M288" s="8" t="str">
        <f t="shared" si="31"/>
        <v>4</v>
      </c>
      <c r="N288" t="s">
        <v>636</v>
      </c>
      <c r="O288" t="s">
        <v>637</v>
      </c>
    </row>
    <row r="289" spans="2:22" ht="15" customHeight="1" x14ac:dyDescent="0.25">
      <c r="B289" s="3" t="s">
        <v>852</v>
      </c>
      <c r="C289" s="1" t="s">
        <v>853</v>
      </c>
      <c r="D289" s="2" t="s">
        <v>636</v>
      </c>
      <c r="E289" s="1" t="s">
        <v>491</v>
      </c>
      <c r="F289" s="2" t="s">
        <v>635</v>
      </c>
      <c r="G289" s="1" t="s">
        <v>854</v>
      </c>
      <c r="H289" s="1" t="s">
        <v>3</v>
      </c>
      <c r="I289" t="str">
        <f t="shared" si="27"/>
        <v>1H</v>
      </c>
      <c r="J289" t="str">
        <f t="shared" si="28"/>
        <v xml:space="preserve">2051 </v>
      </c>
      <c r="K289" t="str">
        <f t="shared" si="29"/>
        <v xml:space="preserve">2055 </v>
      </c>
      <c r="L289" t="str">
        <f t="shared" si="30"/>
        <v>Plat 2</v>
      </c>
      <c r="M289" s="8" t="str">
        <f t="shared" si="31"/>
        <v>2</v>
      </c>
      <c r="N289" t="s">
        <v>635</v>
      </c>
    </row>
    <row r="290" spans="2:22" ht="15" customHeight="1" x14ac:dyDescent="0.25">
      <c r="B290" s="3" t="s">
        <v>855</v>
      </c>
      <c r="C290" s="1" t="s">
        <v>856</v>
      </c>
      <c r="D290" s="2" t="s">
        <v>635</v>
      </c>
      <c r="E290" s="1" t="s">
        <v>489</v>
      </c>
      <c r="F290" s="2" t="s">
        <v>636</v>
      </c>
      <c r="G290" s="1" t="s">
        <v>857</v>
      </c>
      <c r="H290" s="1" t="s">
        <v>3</v>
      </c>
      <c r="I290" t="str">
        <f t="shared" si="27"/>
        <v>1L</v>
      </c>
      <c r="J290" t="str">
        <f t="shared" si="28"/>
        <v xml:space="preserve">2052 </v>
      </c>
      <c r="K290" t="str">
        <f t="shared" si="29"/>
        <v xml:space="preserve">2056 </v>
      </c>
      <c r="L290" t="str">
        <f t="shared" si="30"/>
        <v>Plat 3</v>
      </c>
      <c r="M290" s="8" t="str">
        <f t="shared" si="31"/>
        <v>3</v>
      </c>
      <c r="N290" t="s">
        <v>636</v>
      </c>
    </row>
    <row r="291" spans="2:22" ht="15" customHeight="1" x14ac:dyDescent="0.25">
      <c r="B291" s="3" t="s">
        <v>858</v>
      </c>
      <c r="C291" s="1" t="s">
        <v>859</v>
      </c>
      <c r="D291" s="2" t="s">
        <v>19</v>
      </c>
      <c r="E291" s="1" t="s">
        <v>492</v>
      </c>
      <c r="F291" s="2" t="s">
        <v>635</v>
      </c>
      <c r="G291" s="1" t="s">
        <v>860</v>
      </c>
      <c r="H291" s="1" t="s">
        <v>3</v>
      </c>
      <c r="I291" t="str">
        <f t="shared" si="27"/>
        <v>1F</v>
      </c>
      <c r="J291" t="str">
        <f t="shared" si="28"/>
        <v xml:space="preserve">2058 </v>
      </c>
      <c r="K291" t="str">
        <f t="shared" si="29"/>
        <v xml:space="preserve">2102 </v>
      </c>
      <c r="L291" t="str">
        <f t="shared" si="30"/>
        <v>Plat 1</v>
      </c>
      <c r="M291" s="8" t="str">
        <f t="shared" si="31"/>
        <v>1</v>
      </c>
      <c r="N291" t="s">
        <v>635</v>
      </c>
    </row>
    <row r="292" spans="2:22" ht="15" customHeight="1" x14ac:dyDescent="0.25">
      <c r="B292" s="3" t="s">
        <v>861</v>
      </c>
      <c r="C292" s="1" t="s">
        <v>862</v>
      </c>
      <c r="D292" s="2" t="s">
        <v>635</v>
      </c>
      <c r="E292" s="1" t="s">
        <v>490</v>
      </c>
      <c r="F292" s="2" t="s">
        <v>636</v>
      </c>
      <c r="G292" s="1" t="s">
        <v>863</v>
      </c>
      <c r="H292" s="1" t="s">
        <v>3</v>
      </c>
      <c r="I292" t="str">
        <f t="shared" ref="I292:I327" si="32">LEFT(B292,2)</f>
        <v>1H</v>
      </c>
      <c r="J292" t="str">
        <f t="shared" ref="J292:J327" si="33">LEFT(C292,5)</f>
        <v xml:space="preserve">2059 </v>
      </c>
      <c r="K292" t="str">
        <f t="shared" ref="K292:K327" si="34">LEFT(G292,5)</f>
        <v xml:space="preserve">2103 </v>
      </c>
      <c r="L292" t="str">
        <f t="shared" ref="L292:L327" si="35">LEFT(E292,6)</f>
        <v>Plat 4</v>
      </c>
      <c r="M292" s="8" t="str">
        <f t="shared" si="31"/>
        <v>4</v>
      </c>
      <c r="N292" t="s">
        <v>636</v>
      </c>
    </row>
    <row r="293" spans="2:22" ht="15" customHeight="1" x14ac:dyDescent="0.25">
      <c r="B293" s="3" t="s">
        <v>864</v>
      </c>
      <c r="C293" s="1" t="s">
        <v>865</v>
      </c>
      <c r="D293" s="2" t="s">
        <v>636</v>
      </c>
      <c r="E293" s="1" t="s">
        <v>491</v>
      </c>
      <c r="F293" s="2" t="s">
        <v>635</v>
      </c>
      <c r="G293" s="1" t="s">
        <v>866</v>
      </c>
      <c r="H293" s="1" t="s">
        <v>3</v>
      </c>
      <c r="I293" t="str">
        <f t="shared" si="32"/>
        <v>1L</v>
      </c>
      <c r="J293" t="str">
        <f t="shared" si="33"/>
        <v xml:space="preserve">2105 </v>
      </c>
      <c r="K293" t="str">
        <f t="shared" si="34"/>
        <v xml:space="preserve">2109 </v>
      </c>
      <c r="L293" t="str">
        <f t="shared" si="35"/>
        <v>Plat 2</v>
      </c>
      <c r="M293" s="8" t="str">
        <f t="shared" si="31"/>
        <v>2</v>
      </c>
      <c r="N293" t="s">
        <v>635</v>
      </c>
    </row>
    <row r="294" spans="2:22" ht="15" customHeight="1" x14ac:dyDescent="0.25">
      <c r="B294" s="3" t="s">
        <v>867</v>
      </c>
      <c r="C294" s="1" t="s">
        <v>868</v>
      </c>
      <c r="D294" s="2" t="s">
        <v>635</v>
      </c>
      <c r="E294" s="1" t="s">
        <v>489</v>
      </c>
      <c r="F294" s="2" t="s">
        <v>637</v>
      </c>
      <c r="G294" s="1" t="s">
        <v>869</v>
      </c>
      <c r="H294" s="1" t="s">
        <v>3</v>
      </c>
      <c r="I294" t="str">
        <f t="shared" si="32"/>
        <v>1J</v>
      </c>
      <c r="J294" t="str">
        <f t="shared" si="33"/>
        <v xml:space="preserve">2110 </v>
      </c>
      <c r="K294" t="str">
        <f t="shared" si="34"/>
        <v xml:space="preserve">2114 </v>
      </c>
      <c r="L294" t="str">
        <f t="shared" si="35"/>
        <v>Plat 3</v>
      </c>
      <c r="M294" s="8" t="str">
        <f t="shared" si="31"/>
        <v>3</v>
      </c>
      <c r="N294" t="s">
        <v>636</v>
      </c>
      <c r="O294" t="s">
        <v>637</v>
      </c>
    </row>
    <row r="295" spans="2:22" ht="15" customHeight="1" x14ac:dyDescent="0.25">
      <c r="B295" s="3" t="s">
        <v>870</v>
      </c>
      <c r="C295" s="1" t="s">
        <v>871</v>
      </c>
      <c r="D295" s="2" t="s">
        <v>636</v>
      </c>
      <c r="E295" s="1" t="s">
        <v>492</v>
      </c>
      <c r="F295" s="2" t="s">
        <v>635</v>
      </c>
      <c r="G295" s="1" t="s">
        <v>872</v>
      </c>
      <c r="H295" s="1" t="s">
        <v>3</v>
      </c>
      <c r="I295" t="str">
        <f t="shared" si="32"/>
        <v>1H</v>
      </c>
      <c r="J295" t="str">
        <f t="shared" si="33"/>
        <v xml:space="preserve">2112 </v>
      </c>
      <c r="K295" t="str">
        <f t="shared" si="34"/>
        <v xml:space="preserve">2116 </v>
      </c>
      <c r="L295" t="str">
        <f t="shared" si="35"/>
        <v>Plat 1</v>
      </c>
      <c r="M295" s="8" t="str">
        <f t="shared" si="31"/>
        <v>1</v>
      </c>
      <c r="N295" t="s">
        <v>635</v>
      </c>
    </row>
    <row r="296" spans="2:22" ht="15" customHeight="1" x14ac:dyDescent="0.25">
      <c r="B296" s="3" t="s">
        <v>873</v>
      </c>
      <c r="C296" s="1" t="s">
        <v>874</v>
      </c>
      <c r="D296" s="2" t="s">
        <v>635</v>
      </c>
      <c r="E296" s="1" t="s">
        <v>490</v>
      </c>
      <c r="F296" s="2" t="s">
        <v>636</v>
      </c>
      <c r="G296" s="1" t="s">
        <v>875</v>
      </c>
      <c r="H296" s="1" t="s">
        <v>3</v>
      </c>
      <c r="I296" t="str">
        <f t="shared" si="32"/>
        <v>1H</v>
      </c>
      <c r="J296" t="str">
        <f t="shared" si="33"/>
        <v xml:space="preserve">2117 </v>
      </c>
      <c r="K296" t="str">
        <f t="shared" si="34"/>
        <v xml:space="preserve">2121 </v>
      </c>
      <c r="L296" t="str">
        <f t="shared" si="35"/>
        <v>Plat 4</v>
      </c>
      <c r="M296" s="8" t="str">
        <f t="shared" si="31"/>
        <v>4</v>
      </c>
      <c r="N296" t="s">
        <v>636</v>
      </c>
    </row>
    <row r="297" spans="2:22" ht="15" customHeight="1" x14ac:dyDescent="0.25">
      <c r="B297" s="3" t="s">
        <v>876</v>
      </c>
      <c r="C297" s="1" t="s">
        <v>877</v>
      </c>
      <c r="D297" s="2" t="s">
        <v>637</v>
      </c>
      <c r="E297" s="1" t="s">
        <v>491</v>
      </c>
      <c r="F297" s="2" t="s">
        <v>635</v>
      </c>
      <c r="G297" s="1" t="s">
        <v>878</v>
      </c>
      <c r="H297" s="1" t="s">
        <v>3</v>
      </c>
      <c r="I297" t="str">
        <f t="shared" si="32"/>
        <v>1J</v>
      </c>
      <c r="J297" t="str">
        <f t="shared" si="33"/>
        <v xml:space="preserve">2119 </v>
      </c>
      <c r="K297" t="str">
        <f t="shared" si="34"/>
        <v xml:space="preserve">2123 </v>
      </c>
      <c r="L297" t="str">
        <f t="shared" si="35"/>
        <v>Plat 2</v>
      </c>
      <c r="M297" s="8" t="str">
        <f t="shared" si="31"/>
        <v>2</v>
      </c>
      <c r="N297" t="s">
        <v>635</v>
      </c>
    </row>
    <row r="298" spans="2:22" ht="15" customHeight="1" x14ac:dyDescent="0.25">
      <c r="B298" s="3" t="s">
        <v>879</v>
      </c>
      <c r="C298" s="1" t="s">
        <v>880</v>
      </c>
      <c r="D298" s="2" t="s">
        <v>635</v>
      </c>
      <c r="E298" s="1" t="s">
        <v>489</v>
      </c>
      <c r="F298" s="2" t="s">
        <v>19</v>
      </c>
      <c r="G298" s="1" t="s">
        <v>881</v>
      </c>
      <c r="H298" s="1" t="s">
        <v>3</v>
      </c>
      <c r="I298" t="str">
        <f t="shared" si="32"/>
        <v>1F</v>
      </c>
      <c r="J298" t="str">
        <f t="shared" si="33"/>
        <v xml:space="preserve">2124 </v>
      </c>
      <c r="K298" t="str">
        <f t="shared" si="34"/>
        <v xml:space="preserve">2128 </v>
      </c>
      <c r="L298" t="str">
        <f t="shared" si="35"/>
        <v>Plat 3</v>
      </c>
      <c r="M298" s="8" t="str">
        <f t="shared" si="31"/>
        <v>3</v>
      </c>
      <c r="N298" t="s">
        <v>636</v>
      </c>
      <c r="O298" t="s">
        <v>1028</v>
      </c>
      <c r="P298" t="s">
        <v>1029</v>
      </c>
      <c r="Q298" t="s">
        <v>1030</v>
      </c>
      <c r="R298" t="s">
        <v>1031</v>
      </c>
      <c r="S298" t="s">
        <v>1032</v>
      </c>
      <c r="T298" t="s">
        <v>1033</v>
      </c>
      <c r="U298" t="s">
        <v>1034</v>
      </c>
      <c r="V298" t="s">
        <v>19</v>
      </c>
    </row>
    <row r="299" spans="2:22" ht="15" customHeight="1" x14ac:dyDescent="0.25">
      <c r="B299" s="3" t="s">
        <v>882</v>
      </c>
      <c r="C299" s="1" t="s">
        <v>883</v>
      </c>
      <c r="D299" s="2" t="s">
        <v>636</v>
      </c>
      <c r="E299" s="1" t="s">
        <v>492</v>
      </c>
      <c r="F299" s="2" t="s">
        <v>635</v>
      </c>
      <c r="G299" s="1" t="s">
        <v>884</v>
      </c>
      <c r="H299" s="1" t="s">
        <v>3</v>
      </c>
      <c r="I299" t="str">
        <f t="shared" si="32"/>
        <v>1L</v>
      </c>
      <c r="J299" t="str">
        <f t="shared" si="33"/>
        <v xml:space="preserve">2126 </v>
      </c>
      <c r="K299" t="str">
        <f t="shared" si="34"/>
        <v xml:space="preserve">2130 </v>
      </c>
      <c r="L299" t="str">
        <f t="shared" si="35"/>
        <v>Plat 1</v>
      </c>
      <c r="M299" s="8" t="str">
        <f t="shared" si="31"/>
        <v>1</v>
      </c>
      <c r="N299" t="s">
        <v>635</v>
      </c>
    </row>
    <row r="300" spans="2:22" ht="15" customHeight="1" x14ac:dyDescent="0.25">
      <c r="B300" s="3" t="s">
        <v>885</v>
      </c>
      <c r="C300" s="1" t="s">
        <v>886</v>
      </c>
      <c r="D300" s="2" t="s">
        <v>635</v>
      </c>
      <c r="E300" s="1" t="s">
        <v>490</v>
      </c>
      <c r="F300" s="2" t="s">
        <v>636</v>
      </c>
      <c r="G300" s="1" t="s">
        <v>887</v>
      </c>
      <c r="H300" s="1" t="s">
        <v>3</v>
      </c>
      <c r="I300" t="str">
        <f t="shared" si="32"/>
        <v>1L</v>
      </c>
      <c r="J300" t="str">
        <f t="shared" si="33"/>
        <v xml:space="preserve">2131 </v>
      </c>
      <c r="K300" t="str">
        <f t="shared" si="34"/>
        <v xml:space="preserve">2135 </v>
      </c>
      <c r="L300" t="str">
        <f t="shared" si="35"/>
        <v>Plat 4</v>
      </c>
      <c r="M300" s="8" t="str">
        <f t="shared" si="31"/>
        <v>4</v>
      </c>
      <c r="N300" t="s">
        <v>636</v>
      </c>
    </row>
    <row r="301" spans="2:22" ht="15" customHeight="1" x14ac:dyDescent="0.25">
      <c r="B301" s="3" t="s">
        <v>888</v>
      </c>
      <c r="C301" s="1" t="s">
        <v>889</v>
      </c>
      <c r="D301" s="2" t="s">
        <v>636</v>
      </c>
      <c r="E301" s="1" t="s">
        <v>491</v>
      </c>
      <c r="F301" s="2" t="s">
        <v>635</v>
      </c>
      <c r="G301" s="1" t="s">
        <v>890</v>
      </c>
      <c r="H301" s="1" t="s">
        <v>3</v>
      </c>
      <c r="I301" t="str">
        <f t="shared" si="32"/>
        <v>1F</v>
      </c>
      <c r="J301" t="str">
        <f t="shared" si="33"/>
        <v xml:space="preserve">2133 </v>
      </c>
      <c r="K301" t="str">
        <f t="shared" si="34"/>
        <v xml:space="preserve">2137 </v>
      </c>
      <c r="L301" t="str">
        <f t="shared" si="35"/>
        <v>Plat 2</v>
      </c>
      <c r="M301" s="8" t="str">
        <f t="shared" si="31"/>
        <v>2</v>
      </c>
      <c r="N301" t="s">
        <v>635</v>
      </c>
    </row>
    <row r="302" spans="2:22" ht="15" customHeight="1" x14ac:dyDescent="0.25">
      <c r="B302" s="3" t="s">
        <v>891</v>
      </c>
      <c r="C302" s="1" t="s">
        <v>892</v>
      </c>
      <c r="D302" s="2" t="s">
        <v>635</v>
      </c>
      <c r="E302" s="1" t="s">
        <v>489</v>
      </c>
      <c r="F302" s="2" t="s">
        <v>636</v>
      </c>
      <c r="G302" s="1" t="s">
        <v>893</v>
      </c>
      <c r="H302" s="1" t="s">
        <v>3</v>
      </c>
      <c r="I302" t="str">
        <f t="shared" si="32"/>
        <v>1F</v>
      </c>
      <c r="J302" t="str">
        <f t="shared" si="33"/>
        <v xml:space="preserve">2138 </v>
      </c>
      <c r="K302" t="str">
        <f t="shared" si="34"/>
        <v xml:space="preserve">2142 </v>
      </c>
      <c r="L302" t="str">
        <f t="shared" si="35"/>
        <v>Plat 3</v>
      </c>
      <c r="M302" s="8" t="str">
        <f t="shared" si="31"/>
        <v>3</v>
      </c>
      <c r="N302" t="s">
        <v>636</v>
      </c>
    </row>
    <row r="303" spans="2:22" ht="15" customHeight="1" x14ac:dyDescent="0.25">
      <c r="B303" s="3" t="s">
        <v>894</v>
      </c>
      <c r="C303" s="1" t="s">
        <v>895</v>
      </c>
      <c r="D303" s="2" t="s">
        <v>637</v>
      </c>
      <c r="E303" s="1" t="s">
        <v>492</v>
      </c>
      <c r="F303" s="2" t="s">
        <v>635</v>
      </c>
      <c r="G303" s="1" t="s">
        <v>896</v>
      </c>
      <c r="H303" s="1" t="s">
        <v>3</v>
      </c>
      <c r="I303" t="str">
        <f t="shared" si="32"/>
        <v>1J</v>
      </c>
      <c r="J303" t="str">
        <f t="shared" si="33"/>
        <v>2144½</v>
      </c>
      <c r="K303" t="str">
        <f t="shared" si="34"/>
        <v>2148½</v>
      </c>
      <c r="L303" t="str">
        <f t="shared" si="35"/>
        <v>Plat 1</v>
      </c>
      <c r="M303" s="8" t="str">
        <f t="shared" si="31"/>
        <v>1</v>
      </c>
      <c r="N303" t="s">
        <v>635</v>
      </c>
    </row>
    <row r="304" spans="2:22" ht="15" customHeight="1" x14ac:dyDescent="0.25">
      <c r="B304" s="3" t="s">
        <v>897</v>
      </c>
      <c r="C304" s="1" t="s">
        <v>898</v>
      </c>
      <c r="D304" s="2" t="s">
        <v>635</v>
      </c>
      <c r="E304" s="1" t="s">
        <v>490</v>
      </c>
      <c r="F304" s="2" t="s">
        <v>637</v>
      </c>
      <c r="G304" s="1" t="s">
        <v>899</v>
      </c>
      <c r="H304" s="1" t="s">
        <v>3</v>
      </c>
      <c r="I304" t="str">
        <f t="shared" si="32"/>
        <v>1J</v>
      </c>
      <c r="J304" t="str">
        <f t="shared" si="33"/>
        <v xml:space="preserve">2145 </v>
      </c>
      <c r="K304" t="str">
        <f t="shared" si="34"/>
        <v xml:space="preserve">2149 </v>
      </c>
      <c r="L304" t="str">
        <f t="shared" si="35"/>
        <v>Plat 4</v>
      </c>
      <c r="M304" s="8" t="str">
        <f t="shared" si="31"/>
        <v>4</v>
      </c>
      <c r="N304" t="s">
        <v>636</v>
      </c>
      <c r="O304" t="s">
        <v>637</v>
      </c>
    </row>
    <row r="305" spans="2:14" ht="15" customHeight="1" x14ac:dyDescent="0.25">
      <c r="B305" s="3" t="s">
        <v>900</v>
      </c>
      <c r="C305" s="1" t="s">
        <v>901</v>
      </c>
      <c r="D305" s="2" t="s">
        <v>636</v>
      </c>
      <c r="E305" s="1" t="s">
        <v>491</v>
      </c>
      <c r="F305" s="2" t="s">
        <v>635</v>
      </c>
      <c r="G305" s="1" t="s">
        <v>902</v>
      </c>
      <c r="H305" s="1" t="s">
        <v>3</v>
      </c>
      <c r="I305" t="str">
        <f t="shared" si="32"/>
        <v>1H</v>
      </c>
      <c r="J305" t="str">
        <f t="shared" si="33"/>
        <v xml:space="preserve">2151 </v>
      </c>
      <c r="K305" t="str">
        <f t="shared" si="34"/>
        <v xml:space="preserve">2155 </v>
      </c>
      <c r="L305" t="str">
        <f t="shared" si="35"/>
        <v>Plat 2</v>
      </c>
      <c r="M305" s="8" t="str">
        <f t="shared" si="31"/>
        <v>2</v>
      </c>
      <c r="N305" t="s">
        <v>635</v>
      </c>
    </row>
    <row r="306" spans="2:14" ht="15" customHeight="1" x14ac:dyDescent="0.25">
      <c r="B306" s="3" t="s">
        <v>903</v>
      </c>
      <c r="C306" s="1" t="s">
        <v>904</v>
      </c>
      <c r="D306" s="2" t="s">
        <v>635</v>
      </c>
      <c r="E306" s="1" t="s">
        <v>489</v>
      </c>
      <c r="F306" s="2" t="s">
        <v>636</v>
      </c>
      <c r="G306" s="1" t="s">
        <v>905</v>
      </c>
      <c r="H306" s="1" t="s">
        <v>3</v>
      </c>
      <c r="I306" t="str">
        <f t="shared" si="32"/>
        <v>1L</v>
      </c>
      <c r="J306" t="str">
        <f t="shared" si="33"/>
        <v xml:space="preserve">2152 </v>
      </c>
      <c r="K306" t="str">
        <f t="shared" si="34"/>
        <v xml:space="preserve">2156 </v>
      </c>
      <c r="L306" t="str">
        <f t="shared" si="35"/>
        <v>Plat 3</v>
      </c>
      <c r="M306" s="8" t="str">
        <f t="shared" si="31"/>
        <v>3</v>
      </c>
      <c r="N306" t="s">
        <v>636</v>
      </c>
    </row>
    <row r="307" spans="2:14" ht="15" customHeight="1" x14ac:dyDescent="0.25">
      <c r="B307" s="3" t="s">
        <v>906</v>
      </c>
      <c r="C307" s="1" t="s">
        <v>907</v>
      </c>
      <c r="D307" s="2" t="s">
        <v>19</v>
      </c>
      <c r="E307" s="1" t="s">
        <v>492</v>
      </c>
      <c r="F307" s="2" t="s">
        <v>635</v>
      </c>
      <c r="G307" s="1" t="s">
        <v>908</v>
      </c>
      <c r="H307" s="1" t="s">
        <v>3</v>
      </c>
      <c r="I307" t="str">
        <f t="shared" si="32"/>
        <v>1F</v>
      </c>
      <c r="J307" t="str">
        <f t="shared" si="33"/>
        <v xml:space="preserve">2158 </v>
      </c>
      <c r="K307" t="str">
        <f t="shared" si="34"/>
        <v xml:space="preserve">2202 </v>
      </c>
      <c r="L307" t="str">
        <f t="shared" si="35"/>
        <v>Plat 1</v>
      </c>
      <c r="M307" s="8" t="str">
        <f t="shared" si="31"/>
        <v>1</v>
      </c>
      <c r="N307" t="s">
        <v>635</v>
      </c>
    </row>
    <row r="308" spans="2:14" ht="15" customHeight="1" x14ac:dyDescent="0.25">
      <c r="B308" s="3" t="s">
        <v>909</v>
      </c>
      <c r="C308" s="1" t="s">
        <v>910</v>
      </c>
      <c r="D308" s="2" t="s">
        <v>635</v>
      </c>
      <c r="E308" s="1" t="s">
        <v>490</v>
      </c>
      <c r="F308" s="2" t="s">
        <v>636</v>
      </c>
      <c r="G308" s="1" t="s">
        <v>911</v>
      </c>
      <c r="H308" s="1" t="s">
        <v>3</v>
      </c>
      <c r="I308" t="str">
        <f t="shared" si="32"/>
        <v>1H</v>
      </c>
      <c r="J308" t="str">
        <f t="shared" si="33"/>
        <v xml:space="preserve">2159 </v>
      </c>
      <c r="K308" t="str">
        <f t="shared" si="34"/>
        <v xml:space="preserve">2203 </v>
      </c>
      <c r="L308" t="str">
        <f t="shared" si="35"/>
        <v>Plat 4</v>
      </c>
      <c r="M308" s="8" t="str">
        <f t="shared" si="31"/>
        <v>4</v>
      </c>
      <c r="N308" t="s">
        <v>636</v>
      </c>
    </row>
    <row r="309" spans="2:14" ht="15" customHeight="1" x14ac:dyDescent="0.25">
      <c r="B309" s="3" t="s">
        <v>912</v>
      </c>
      <c r="C309" s="1" t="s">
        <v>913</v>
      </c>
      <c r="D309" s="2" t="s">
        <v>636</v>
      </c>
      <c r="E309" s="1" t="s">
        <v>491</v>
      </c>
      <c r="F309" s="2" t="s">
        <v>635</v>
      </c>
      <c r="G309" s="1" t="s">
        <v>914</v>
      </c>
      <c r="H309" s="1" t="s">
        <v>3</v>
      </c>
      <c r="I309" t="str">
        <f t="shared" si="32"/>
        <v>1L</v>
      </c>
      <c r="J309" t="str">
        <f t="shared" si="33"/>
        <v xml:space="preserve">2205 </v>
      </c>
      <c r="K309" t="str">
        <f t="shared" si="34"/>
        <v xml:space="preserve">2209 </v>
      </c>
      <c r="L309" t="str">
        <f t="shared" si="35"/>
        <v>Plat 2</v>
      </c>
      <c r="M309" s="8" t="str">
        <f t="shared" si="31"/>
        <v>2</v>
      </c>
      <c r="N309" t="s">
        <v>635</v>
      </c>
    </row>
    <row r="310" spans="2:14" ht="15" customHeight="1" x14ac:dyDescent="0.25">
      <c r="B310" s="3" t="s">
        <v>915</v>
      </c>
      <c r="C310" s="1" t="s">
        <v>916</v>
      </c>
      <c r="D310" s="2" t="s">
        <v>635</v>
      </c>
      <c r="E310" s="1" t="s">
        <v>489</v>
      </c>
      <c r="F310" s="2" t="s">
        <v>636</v>
      </c>
      <c r="G310" s="1" t="s">
        <v>917</v>
      </c>
      <c r="H310" s="1" t="s">
        <v>3</v>
      </c>
      <c r="I310" t="str">
        <f t="shared" si="32"/>
        <v>1J</v>
      </c>
      <c r="J310" t="str">
        <f t="shared" si="33"/>
        <v xml:space="preserve">2210 </v>
      </c>
      <c r="K310" t="str">
        <f t="shared" si="34"/>
        <v xml:space="preserve">2214 </v>
      </c>
      <c r="L310" t="str">
        <f t="shared" si="35"/>
        <v>Plat 3</v>
      </c>
      <c r="M310" s="8" t="str">
        <f t="shared" si="31"/>
        <v>3</v>
      </c>
      <c r="N310" t="s">
        <v>636</v>
      </c>
    </row>
    <row r="311" spans="2:14" ht="15" customHeight="1" x14ac:dyDescent="0.25">
      <c r="B311" s="3" t="s">
        <v>918</v>
      </c>
      <c r="C311" s="1" t="s">
        <v>919</v>
      </c>
      <c r="D311" s="2" t="s">
        <v>636</v>
      </c>
      <c r="E311" s="1" t="s">
        <v>492</v>
      </c>
      <c r="F311" s="2" t="s">
        <v>635</v>
      </c>
      <c r="G311" s="1" t="s">
        <v>920</v>
      </c>
      <c r="H311" s="1" t="s">
        <v>3</v>
      </c>
      <c r="I311" t="str">
        <f t="shared" si="32"/>
        <v>1H</v>
      </c>
      <c r="J311" t="str">
        <f t="shared" si="33"/>
        <v xml:space="preserve">2212 </v>
      </c>
      <c r="K311" t="str">
        <f t="shared" si="34"/>
        <v xml:space="preserve">2216 </v>
      </c>
      <c r="L311" t="str">
        <f t="shared" si="35"/>
        <v>Plat 1</v>
      </c>
      <c r="M311" s="8" t="str">
        <f t="shared" si="31"/>
        <v>1</v>
      </c>
      <c r="N311" t="s">
        <v>635</v>
      </c>
    </row>
    <row r="312" spans="2:14" ht="15" customHeight="1" x14ac:dyDescent="0.25">
      <c r="B312" s="3" t="s">
        <v>921</v>
      </c>
      <c r="C312" s="1" t="s">
        <v>922</v>
      </c>
      <c r="D312" s="2" t="s">
        <v>635</v>
      </c>
      <c r="E312" s="1" t="s">
        <v>490</v>
      </c>
      <c r="F312" s="2" t="s">
        <v>636</v>
      </c>
      <c r="G312" s="1" t="s">
        <v>923</v>
      </c>
      <c r="H312" s="1" t="s">
        <v>3</v>
      </c>
      <c r="I312" t="str">
        <f t="shared" si="32"/>
        <v>1H</v>
      </c>
      <c r="J312" t="str">
        <f t="shared" si="33"/>
        <v xml:space="preserve">2217 </v>
      </c>
      <c r="K312" t="str">
        <f t="shared" si="34"/>
        <v xml:space="preserve">2221 </v>
      </c>
      <c r="L312" t="str">
        <f t="shared" si="35"/>
        <v>Plat 4</v>
      </c>
      <c r="M312" s="8" t="str">
        <f t="shared" si="31"/>
        <v>4</v>
      </c>
      <c r="N312" t="s">
        <v>636</v>
      </c>
    </row>
    <row r="313" spans="2:14" ht="15" customHeight="1" x14ac:dyDescent="0.25">
      <c r="B313" s="3" t="s">
        <v>924</v>
      </c>
      <c r="C313" s="1" t="s">
        <v>925</v>
      </c>
      <c r="D313" s="2" t="s">
        <v>637</v>
      </c>
      <c r="E313" s="1" t="s">
        <v>491</v>
      </c>
      <c r="F313" s="2" t="s">
        <v>635</v>
      </c>
      <c r="G313" s="1" t="s">
        <v>926</v>
      </c>
      <c r="H313" s="1" t="s">
        <v>3</v>
      </c>
      <c r="I313" t="str">
        <f t="shared" si="32"/>
        <v>1J</v>
      </c>
      <c r="J313" t="str">
        <f t="shared" si="33"/>
        <v xml:space="preserve">2219 </v>
      </c>
      <c r="K313" t="str">
        <f t="shared" si="34"/>
        <v xml:space="preserve">2223 </v>
      </c>
      <c r="L313" t="str">
        <f t="shared" si="35"/>
        <v>Plat 2</v>
      </c>
      <c r="M313" s="8" t="str">
        <f t="shared" si="31"/>
        <v>2</v>
      </c>
      <c r="N313" t="s">
        <v>635</v>
      </c>
    </row>
    <row r="314" spans="2:14" ht="15" customHeight="1" x14ac:dyDescent="0.25">
      <c r="B314" s="3" t="s">
        <v>927</v>
      </c>
      <c r="C314" s="1" t="s">
        <v>928</v>
      </c>
      <c r="D314" s="2" t="s">
        <v>635</v>
      </c>
      <c r="E314" s="1" t="s">
        <v>489</v>
      </c>
      <c r="F314" s="2" t="s">
        <v>636</v>
      </c>
      <c r="G314" s="1" t="s">
        <v>929</v>
      </c>
      <c r="H314" s="1" t="s">
        <v>3</v>
      </c>
      <c r="I314" t="str">
        <f t="shared" si="32"/>
        <v>1L</v>
      </c>
      <c r="J314" t="str">
        <f t="shared" si="33"/>
        <v xml:space="preserve">2224 </v>
      </c>
      <c r="K314" t="str">
        <f t="shared" si="34"/>
        <v xml:space="preserve">2228 </v>
      </c>
      <c r="L314" t="str">
        <f t="shared" si="35"/>
        <v>Plat 3</v>
      </c>
      <c r="M314" s="8" t="str">
        <f t="shared" si="31"/>
        <v>3</v>
      </c>
      <c r="N314" t="s">
        <v>636</v>
      </c>
    </row>
    <row r="315" spans="2:14" ht="15" customHeight="1" x14ac:dyDescent="0.25">
      <c r="B315" s="3" t="s">
        <v>930</v>
      </c>
      <c r="C315" s="1" t="s">
        <v>931</v>
      </c>
      <c r="D315" s="2" t="s">
        <v>636</v>
      </c>
      <c r="E315" s="1" t="s">
        <v>492</v>
      </c>
      <c r="F315" s="2" t="s">
        <v>635</v>
      </c>
      <c r="G315" s="1" t="s">
        <v>932</v>
      </c>
      <c r="H315" s="1" t="s">
        <v>3</v>
      </c>
      <c r="I315" t="str">
        <f t="shared" si="32"/>
        <v>1L</v>
      </c>
      <c r="J315" t="str">
        <f t="shared" si="33"/>
        <v xml:space="preserve">2226 </v>
      </c>
      <c r="K315" t="str">
        <f t="shared" si="34"/>
        <v xml:space="preserve">2230 </v>
      </c>
      <c r="L315" t="str">
        <f t="shared" si="35"/>
        <v>Plat 1</v>
      </c>
      <c r="M315" s="8" t="str">
        <f t="shared" si="31"/>
        <v>1</v>
      </c>
      <c r="N315" t="s">
        <v>635</v>
      </c>
    </row>
    <row r="316" spans="2:14" ht="15" customHeight="1" x14ac:dyDescent="0.25">
      <c r="B316" s="3" t="s">
        <v>930</v>
      </c>
      <c r="C316" s="1" t="s">
        <v>931</v>
      </c>
      <c r="D316" s="2" t="s">
        <v>636</v>
      </c>
      <c r="E316" s="1" t="s">
        <v>492</v>
      </c>
      <c r="F316" s="2" t="s">
        <v>635</v>
      </c>
      <c r="G316" s="1" t="s">
        <v>932</v>
      </c>
      <c r="H316" s="1" t="s">
        <v>3</v>
      </c>
      <c r="I316" t="str">
        <f t="shared" si="32"/>
        <v>1L</v>
      </c>
      <c r="J316" t="str">
        <f t="shared" si="33"/>
        <v xml:space="preserve">2226 </v>
      </c>
      <c r="K316" t="str">
        <f t="shared" si="34"/>
        <v xml:space="preserve">2230 </v>
      </c>
      <c r="L316" t="str">
        <f t="shared" si="35"/>
        <v>Plat 1</v>
      </c>
      <c r="M316" s="8" t="str">
        <f t="shared" si="31"/>
        <v>1</v>
      </c>
      <c r="N316" t="s">
        <v>635</v>
      </c>
    </row>
    <row r="317" spans="2:14" ht="15" customHeight="1" x14ac:dyDescent="0.25">
      <c r="B317" s="3" t="s">
        <v>933</v>
      </c>
      <c r="C317" s="1" t="s">
        <v>934</v>
      </c>
      <c r="D317" s="2" t="s">
        <v>635</v>
      </c>
      <c r="E317" s="1" t="s">
        <v>490</v>
      </c>
      <c r="F317" s="2" t="s">
        <v>636</v>
      </c>
      <c r="G317" s="1" t="s">
        <v>935</v>
      </c>
      <c r="H317" s="1" t="s">
        <v>3</v>
      </c>
      <c r="I317" t="str">
        <f t="shared" si="32"/>
        <v>1L</v>
      </c>
      <c r="J317" t="str">
        <f t="shared" si="33"/>
        <v xml:space="preserve">2231 </v>
      </c>
      <c r="K317" t="str">
        <f t="shared" si="34"/>
        <v xml:space="preserve">2235 </v>
      </c>
      <c r="L317" t="str">
        <f t="shared" si="35"/>
        <v>Plat 4</v>
      </c>
      <c r="M317" s="8" t="str">
        <f t="shared" si="31"/>
        <v>4</v>
      </c>
      <c r="N317" t="s">
        <v>636</v>
      </c>
    </row>
    <row r="318" spans="2:14" ht="15" customHeight="1" x14ac:dyDescent="0.25">
      <c r="B318" s="3" t="s">
        <v>936</v>
      </c>
      <c r="C318" s="1" t="s">
        <v>937</v>
      </c>
      <c r="D318" s="2" t="s">
        <v>636</v>
      </c>
      <c r="E318" s="1" t="s">
        <v>491</v>
      </c>
      <c r="F318" s="2" t="s">
        <v>635</v>
      </c>
      <c r="G318" s="1" t="s">
        <v>938</v>
      </c>
      <c r="H318" s="1" t="s">
        <v>3</v>
      </c>
      <c r="I318" t="str">
        <f t="shared" si="32"/>
        <v>1F</v>
      </c>
      <c r="J318" t="str">
        <f t="shared" si="33"/>
        <v xml:space="preserve">2233 </v>
      </c>
      <c r="K318" t="str">
        <f t="shared" si="34"/>
        <v xml:space="preserve">2237 </v>
      </c>
      <c r="L318" t="str">
        <f t="shared" si="35"/>
        <v>Plat 2</v>
      </c>
      <c r="M318" s="8" t="str">
        <f t="shared" si="31"/>
        <v>2</v>
      </c>
      <c r="N318" t="s">
        <v>635</v>
      </c>
    </row>
    <row r="319" spans="2:14" ht="15" customHeight="1" x14ac:dyDescent="0.25">
      <c r="B319" s="3" t="s">
        <v>939</v>
      </c>
      <c r="C319" s="1" t="s">
        <v>940</v>
      </c>
      <c r="D319" s="2" t="s">
        <v>635</v>
      </c>
      <c r="E319" s="1" t="s">
        <v>489</v>
      </c>
      <c r="F319" s="2" t="s">
        <v>636</v>
      </c>
      <c r="G319" s="1" t="s">
        <v>941</v>
      </c>
      <c r="H319" s="1" t="s">
        <v>3</v>
      </c>
      <c r="I319" t="str">
        <f t="shared" si="32"/>
        <v>1H</v>
      </c>
      <c r="J319" t="str">
        <f t="shared" si="33"/>
        <v xml:space="preserve">2238 </v>
      </c>
      <c r="K319" t="str">
        <f t="shared" si="34"/>
        <v xml:space="preserve">2242 </v>
      </c>
      <c r="L319" t="str">
        <f t="shared" si="35"/>
        <v>Plat 3</v>
      </c>
      <c r="M319" s="8" t="str">
        <f t="shared" si="31"/>
        <v>3</v>
      </c>
      <c r="N319" t="s">
        <v>636</v>
      </c>
    </row>
    <row r="320" spans="2:14" ht="15" customHeight="1" x14ac:dyDescent="0.25">
      <c r="B320" s="3" t="s">
        <v>942</v>
      </c>
      <c r="C320" s="1" t="s">
        <v>943</v>
      </c>
      <c r="D320" s="2" t="s">
        <v>635</v>
      </c>
      <c r="E320" s="1" t="s">
        <v>490</v>
      </c>
      <c r="F320" s="2" t="s">
        <v>636</v>
      </c>
      <c r="G320" s="1" t="s">
        <v>944</v>
      </c>
      <c r="H320" s="1" t="s">
        <v>3</v>
      </c>
      <c r="I320" t="str">
        <f t="shared" si="32"/>
        <v>1H</v>
      </c>
      <c r="J320" t="str">
        <f t="shared" si="33"/>
        <v xml:space="preserve">2245 </v>
      </c>
      <c r="K320" t="str">
        <f t="shared" si="34"/>
        <v xml:space="preserve">2247 </v>
      </c>
      <c r="L320" t="str">
        <f t="shared" si="35"/>
        <v>Plat 4</v>
      </c>
      <c r="M320" s="8" t="str">
        <f t="shared" si="31"/>
        <v>4</v>
      </c>
      <c r="N320" t="s">
        <v>636</v>
      </c>
    </row>
    <row r="321" spans="2:14" ht="15" customHeight="1" x14ac:dyDescent="0.25">
      <c r="B321" s="3" t="s">
        <v>945</v>
      </c>
      <c r="C321" s="1" t="s">
        <v>946</v>
      </c>
      <c r="D321" s="2" t="s">
        <v>637</v>
      </c>
      <c r="E321" s="1" t="s">
        <v>492</v>
      </c>
      <c r="F321" s="2" t="s">
        <v>635</v>
      </c>
      <c r="G321" s="1" t="s">
        <v>947</v>
      </c>
      <c r="H321" s="1" t="s">
        <v>3</v>
      </c>
      <c r="I321" t="str">
        <f t="shared" si="32"/>
        <v>1J</v>
      </c>
      <c r="J321" t="str">
        <f t="shared" si="33"/>
        <v>2244½</v>
      </c>
      <c r="K321" t="str">
        <f t="shared" si="34"/>
        <v>2248½</v>
      </c>
      <c r="L321" t="str">
        <f t="shared" si="35"/>
        <v>Plat 1</v>
      </c>
      <c r="M321" s="8" t="str">
        <f t="shared" si="31"/>
        <v>1</v>
      </c>
      <c r="N321" t="s">
        <v>635</v>
      </c>
    </row>
    <row r="322" spans="2:14" ht="15" customHeight="1" x14ac:dyDescent="0.25">
      <c r="B322" s="3" t="s">
        <v>948</v>
      </c>
      <c r="C322" s="1" t="s">
        <v>949</v>
      </c>
      <c r="D322" s="2" t="s">
        <v>636</v>
      </c>
      <c r="E322" s="1" t="s">
        <v>491</v>
      </c>
      <c r="F322" s="2" t="s">
        <v>635</v>
      </c>
      <c r="G322" s="1" t="s">
        <v>950</v>
      </c>
      <c r="H322" s="1" t="s">
        <v>3</v>
      </c>
      <c r="I322" t="str">
        <f t="shared" si="32"/>
        <v>1H</v>
      </c>
      <c r="J322" t="str">
        <f t="shared" si="33"/>
        <v xml:space="preserve">2251 </v>
      </c>
      <c r="K322" t="str">
        <f t="shared" si="34"/>
        <v xml:space="preserve">2255 </v>
      </c>
      <c r="L322" t="str">
        <f t="shared" si="35"/>
        <v>Plat 2</v>
      </c>
      <c r="M322" s="8" t="str">
        <f t="shared" si="31"/>
        <v>2</v>
      </c>
      <c r="N322" t="s">
        <v>635</v>
      </c>
    </row>
    <row r="323" spans="2:14" ht="15" customHeight="1" x14ac:dyDescent="0.25">
      <c r="B323" s="3" t="s">
        <v>951</v>
      </c>
      <c r="C323" s="1" t="s">
        <v>952</v>
      </c>
      <c r="D323" s="2" t="s">
        <v>635</v>
      </c>
      <c r="E323" s="1" t="s">
        <v>489</v>
      </c>
      <c r="F323" s="2" t="s">
        <v>636</v>
      </c>
      <c r="G323" s="1" t="s">
        <v>953</v>
      </c>
      <c r="H323" s="1" t="s">
        <v>3</v>
      </c>
      <c r="I323" t="str">
        <f t="shared" si="32"/>
        <v>1L</v>
      </c>
      <c r="J323" t="str">
        <f t="shared" si="33"/>
        <v xml:space="preserve">2252 </v>
      </c>
      <c r="K323" t="str">
        <f t="shared" si="34"/>
        <v xml:space="preserve">2256 </v>
      </c>
      <c r="L323" t="str">
        <f t="shared" si="35"/>
        <v>Plat 3</v>
      </c>
      <c r="M323" s="8" t="str">
        <f t="shared" ref="M323:M346" si="36">RIGHT(L323,1)</f>
        <v>3</v>
      </c>
      <c r="N323" t="s">
        <v>636</v>
      </c>
    </row>
    <row r="324" spans="2:14" ht="15" customHeight="1" x14ac:dyDescent="0.25">
      <c r="B324" s="3" t="s">
        <v>954</v>
      </c>
      <c r="C324" s="1" t="s">
        <v>955</v>
      </c>
      <c r="D324" s="2" t="s">
        <v>19</v>
      </c>
      <c r="E324" s="1" t="s">
        <v>492</v>
      </c>
      <c r="F324" s="2" t="s">
        <v>635</v>
      </c>
      <c r="G324" s="1" t="s">
        <v>956</v>
      </c>
      <c r="H324" s="1" t="s">
        <v>3</v>
      </c>
      <c r="I324" t="str">
        <f t="shared" si="32"/>
        <v>1F</v>
      </c>
      <c r="J324" t="str">
        <f t="shared" si="33"/>
        <v>2257½</v>
      </c>
      <c r="K324" t="str">
        <f t="shared" si="34"/>
        <v>2301½</v>
      </c>
      <c r="L324" t="str">
        <f t="shared" si="35"/>
        <v>Plat 1</v>
      </c>
      <c r="M324" s="8" t="str">
        <f t="shared" si="36"/>
        <v>1</v>
      </c>
      <c r="N324" t="s">
        <v>635</v>
      </c>
    </row>
    <row r="325" spans="2:14" ht="15" customHeight="1" x14ac:dyDescent="0.25">
      <c r="B325" s="3" t="s">
        <v>957</v>
      </c>
      <c r="C325" s="1" t="s">
        <v>958</v>
      </c>
      <c r="D325" s="2" t="s">
        <v>635</v>
      </c>
      <c r="E325" s="1" t="s">
        <v>490</v>
      </c>
      <c r="F325" s="2" t="s">
        <v>636</v>
      </c>
      <c r="G325" s="1" t="s">
        <v>959</v>
      </c>
      <c r="H325" s="1" t="s">
        <v>3</v>
      </c>
      <c r="I325" t="str">
        <f t="shared" si="32"/>
        <v>1L</v>
      </c>
      <c r="J325" t="str">
        <f t="shared" si="33"/>
        <v xml:space="preserve">2258 </v>
      </c>
      <c r="K325" t="str">
        <f t="shared" si="34"/>
        <v xml:space="preserve">2302 </v>
      </c>
      <c r="L325" t="str">
        <f t="shared" si="35"/>
        <v>Plat 4</v>
      </c>
      <c r="M325" s="8" t="str">
        <f t="shared" si="36"/>
        <v>4</v>
      </c>
      <c r="N325" t="s">
        <v>636</v>
      </c>
    </row>
    <row r="326" spans="2:14" ht="15" customHeight="1" x14ac:dyDescent="0.25">
      <c r="B326" s="3" t="s">
        <v>960</v>
      </c>
      <c r="C326" s="1" t="s">
        <v>961</v>
      </c>
      <c r="D326" s="2" t="s">
        <v>636</v>
      </c>
      <c r="E326" s="1" t="s">
        <v>491</v>
      </c>
      <c r="F326" s="2" t="s">
        <v>635</v>
      </c>
      <c r="G326" s="1" t="s">
        <v>962</v>
      </c>
      <c r="H326" s="1" t="s">
        <v>3</v>
      </c>
      <c r="I326" t="str">
        <f t="shared" si="32"/>
        <v>1L</v>
      </c>
      <c r="J326" t="str">
        <f t="shared" si="33"/>
        <v xml:space="preserve">2301 </v>
      </c>
      <c r="K326" t="str">
        <f t="shared" si="34"/>
        <v xml:space="preserve">2305 </v>
      </c>
      <c r="L326" t="str">
        <f t="shared" si="35"/>
        <v>Plat 2</v>
      </c>
      <c r="M326" s="8" t="str">
        <f t="shared" si="36"/>
        <v>2</v>
      </c>
      <c r="N326" t="s">
        <v>635</v>
      </c>
    </row>
    <row r="327" spans="2:14" ht="15" customHeight="1" x14ac:dyDescent="0.25">
      <c r="B327" s="3" t="s">
        <v>963</v>
      </c>
      <c r="C327" s="1" t="s">
        <v>964</v>
      </c>
      <c r="D327" s="2" t="s">
        <v>636</v>
      </c>
      <c r="E327" s="1" t="s">
        <v>492</v>
      </c>
      <c r="F327" s="2" t="s">
        <v>635</v>
      </c>
      <c r="G327" s="1" t="s">
        <v>965</v>
      </c>
      <c r="H327" s="1" t="s">
        <v>3</v>
      </c>
      <c r="I327" t="str">
        <f t="shared" si="32"/>
        <v>1L</v>
      </c>
      <c r="J327" t="str">
        <f t="shared" si="33"/>
        <v xml:space="preserve">2306 </v>
      </c>
      <c r="K327" t="str">
        <f t="shared" si="34"/>
        <v xml:space="preserve">2309 </v>
      </c>
      <c r="L327" t="str">
        <f t="shared" si="35"/>
        <v>Plat 1</v>
      </c>
      <c r="M327" s="8" t="str">
        <f t="shared" si="36"/>
        <v>1</v>
      </c>
      <c r="N327" t="s">
        <v>635</v>
      </c>
    </row>
    <row r="328" spans="2:14" ht="15" customHeight="1" x14ac:dyDescent="0.25">
      <c r="B328" s="3" t="s">
        <v>966</v>
      </c>
      <c r="C328" s="1" t="s">
        <v>967</v>
      </c>
      <c r="D328" s="2" t="s">
        <v>635</v>
      </c>
      <c r="E328" s="1" t="s">
        <v>489</v>
      </c>
      <c r="F328" s="2" t="s">
        <v>636</v>
      </c>
      <c r="G328" s="1" t="s">
        <v>968</v>
      </c>
      <c r="H328" s="1" t="s">
        <v>3</v>
      </c>
      <c r="I328" t="str">
        <f t="shared" ref="I328:I346" si="37">LEFT(B328,2)</f>
        <v>1H</v>
      </c>
      <c r="J328" t="str">
        <f t="shared" ref="J328:J346" si="38">LEFT(C328,5)</f>
        <v xml:space="preserve">2310 </v>
      </c>
      <c r="K328" t="str">
        <f t="shared" ref="K328:K346" si="39">LEFT(G328,5)</f>
        <v xml:space="preserve">2314 </v>
      </c>
      <c r="L328" t="str">
        <f t="shared" ref="L328:L346" si="40">LEFT(E328,6)</f>
        <v>Plat 3</v>
      </c>
      <c r="M328" s="8" t="str">
        <f t="shared" si="36"/>
        <v>3</v>
      </c>
      <c r="N328" t="s">
        <v>636</v>
      </c>
    </row>
    <row r="329" spans="2:14" ht="15" customHeight="1" x14ac:dyDescent="0.25">
      <c r="B329" s="3" t="s">
        <v>969</v>
      </c>
      <c r="C329" s="1" t="s">
        <v>970</v>
      </c>
      <c r="D329" s="2" t="s">
        <v>636</v>
      </c>
      <c r="E329" s="1" t="s">
        <v>491</v>
      </c>
      <c r="F329" s="2" t="s">
        <v>635</v>
      </c>
      <c r="G329" s="1" t="s">
        <v>971</v>
      </c>
      <c r="H329" s="1" t="s">
        <v>3</v>
      </c>
      <c r="I329" t="str">
        <f t="shared" si="37"/>
        <v>1H</v>
      </c>
      <c r="J329" t="str">
        <f t="shared" si="38"/>
        <v xml:space="preserve">2311 </v>
      </c>
      <c r="K329" t="str">
        <f t="shared" si="39"/>
        <v xml:space="preserve">2315 </v>
      </c>
      <c r="L329" t="str">
        <f t="shared" si="40"/>
        <v>Plat 2</v>
      </c>
      <c r="M329" s="8" t="str">
        <f t="shared" si="36"/>
        <v>2</v>
      </c>
      <c r="N329" t="s">
        <v>635</v>
      </c>
    </row>
    <row r="330" spans="2:14" ht="15" customHeight="1" x14ac:dyDescent="0.25">
      <c r="B330" s="3" t="s">
        <v>972</v>
      </c>
      <c r="C330" s="1" t="s">
        <v>973</v>
      </c>
      <c r="D330" s="2" t="s">
        <v>637</v>
      </c>
      <c r="E330" s="1" t="s">
        <v>492</v>
      </c>
      <c r="F330" s="2" t="s">
        <v>635</v>
      </c>
      <c r="G330" s="1" t="s">
        <v>974</v>
      </c>
      <c r="H330" s="1" t="s">
        <v>3</v>
      </c>
      <c r="I330" t="str">
        <f t="shared" si="37"/>
        <v>1J</v>
      </c>
      <c r="J330" t="str">
        <f t="shared" si="38"/>
        <v xml:space="preserve">2316 </v>
      </c>
      <c r="K330" t="str">
        <f t="shared" si="39"/>
        <v xml:space="preserve">2320 </v>
      </c>
      <c r="L330" t="str">
        <f t="shared" si="40"/>
        <v>Plat 1</v>
      </c>
      <c r="M330" s="8" t="str">
        <f t="shared" si="36"/>
        <v>1</v>
      </c>
      <c r="N330" t="s">
        <v>635</v>
      </c>
    </row>
    <row r="331" spans="2:14" ht="15" customHeight="1" x14ac:dyDescent="0.25">
      <c r="B331" s="3" t="s">
        <v>975</v>
      </c>
      <c r="C331" s="1" t="s">
        <v>976</v>
      </c>
      <c r="D331" s="2" t="s">
        <v>635</v>
      </c>
      <c r="E331" s="1" t="s">
        <v>490</v>
      </c>
      <c r="F331" s="2" t="s">
        <v>636</v>
      </c>
      <c r="G331" s="1" t="s">
        <v>977</v>
      </c>
      <c r="H331" s="1" t="s">
        <v>3</v>
      </c>
      <c r="I331" t="str">
        <f t="shared" si="37"/>
        <v>1H</v>
      </c>
      <c r="J331" t="str">
        <f t="shared" si="38"/>
        <v xml:space="preserve">2317 </v>
      </c>
      <c r="K331" t="str">
        <f t="shared" si="39"/>
        <v xml:space="preserve">2321 </v>
      </c>
      <c r="L331" t="str">
        <f t="shared" si="40"/>
        <v>Plat 4</v>
      </c>
      <c r="M331" s="8" t="str">
        <f t="shared" si="36"/>
        <v>4</v>
      </c>
      <c r="N331" t="s">
        <v>636</v>
      </c>
    </row>
    <row r="332" spans="2:14" ht="15" customHeight="1" x14ac:dyDescent="0.25">
      <c r="B332" s="3" t="s">
        <v>978</v>
      </c>
      <c r="C332" s="1" t="s">
        <v>979</v>
      </c>
      <c r="D332" s="2" t="s">
        <v>636</v>
      </c>
      <c r="E332" s="1" t="s">
        <v>491</v>
      </c>
      <c r="F332" s="2" t="s">
        <v>635</v>
      </c>
      <c r="G332" s="1" t="s">
        <v>980</v>
      </c>
      <c r="H332" s="1" t="s">
        <v>3</v>
      </c>
      <c r="I332" t="str">
        <f t="shared" si="37"/>
        <v>1H</v>
      </c>
      <c r="J332" t="str">
        <f t="shared" si="38"/>
        <v xml:space="preserve">2323 </v>
      </c>
      <c r="K332" t="str">
        <f t="shared" si="39"/>
        <v xml:space="preserve">2325 </v>
      </c>
      <c r="L332" t="str">
        <f t="shared" si="40"/>
        <v>Plat 2</v>
      </c>
      <c r="M332" s="8" t="str">
        <f t="shared" si="36"/>
        <v>2</v>
      </c>
      <c r="N332" t="s">
        <v>635</v>
      </c>
    </row>
    <row r="333" spans="2:14" ht="15" customHeight="1" x14ac:dyDescent="0.25">
      <c r="B333" s="3" t="s">
        <v>981</v>
      </c>
      <c r="C333" s="1" t="s">
        <v>982</v>
      </c>
      <c r="D333" s="2" t="s">
        <v>635</v>
      </c>
      <c r="E333" s="1" t="s">
        <v>489</v>
      </c>
      <c r="F333" s="2" t="s">
        <v>636</v>
      </c>
      <c r="G333" s="1" t="s">
        <v>983</v>
      </c>
      <c r="H333" s="1" t="s">
        <v>3</v>
      </c>
      <c r="I333" t="str">
        <f t="shared" si="37"/>
        <v>1L</v>
      </c>
      <c r="J333" t="str">
        <f t="shared" si="38"/>
        <v xml:space="preserve">2322 </v>
      </c>
      <c r="K333" t="str">
        <f t="shared" si="39"/>
        <v xml:space="preserve">2326 </v>
      </c>
      <c r="L333" t="str">
        <f t="shared" si="40"/>
        <v>Plat 3</v>
      </c>
      <c r="M333" s="8" t="str">
        <f t="shared" si="36"/>
        <v>3</v>
      </c>
      <c r="N333" t="s">
        <v>636</v>
      </c>
    </row>
    <row r="334" spans="2:14" ht="15" customHeight="1" x14ac:dyDescent="0.25">
      <c r="B334" s="3" t="s">
        <v>984</v>
      </c>
      <c r="C334" s="1" t="s">
        <v>983</v>
      </c>
      <c r="D334" s="2" t="s">
        <v>636</v>
      </c>
      <c r="E334" s="1" t="s">
        <v>492</v>
      </c>
      <c r="F334" s="2" t="s">
        <v>635</v>
      </c>
      <c r="G334" s="1" t="s">
        <v>985</v>
      </c>
      <c r="H334" s="1" t="s">
        <v>3</v>
      </c>
      <c r="I334" t="str">
        <f t="shared" si="37"/>
        <v>1L</v>
      </c>
      <c r="J334" t="str">
        <f t="shared" si="38"/>
        <v xml:space="preserve">2326 </v>
      </c>
      <c r="K334" t="str">
        <f t="shared" si="39"/>
        <v xml:space="preserve">2330 </v>
      </c>
      <c r="L334" t="str">
        <f t="shared" si="40"/>
        <v>Plat 1</v>
      </c>
      <c r="M334" s="8" t="str">
        <f t="shared" si="36"/>
        <v>1</v>
      </c>
      <c r="N334" t="s">
        <v>635</v>
      </c>
    </row>
    <row r="335" spans="2:14" ht="15" customHeight="1" x14ac:dyDescent="0.25">
      <c r="B335" s="3" t="s">
        <v>986</v>
      </c>
      <c r="C335" s="1" t="s">
        <v>987</v>
      </c>
      <c r="D335" s="2" t="s">
        <v>635</v>
      </c>
      <c r="E335" s="1" t="s">
        <v>490</v>
      </c>
      <c r="F335" s="2" t="s">
        <v>636</v>
      </c>
      <c r="G335" s="1" t="s">
        <v>988</v>
      </c>
      <c r="H335" s="1" t="s">
        <v>3</v>
      </c>
      <c r="I335" t="str">
        <f t="shared" si="37"/>
        <v>1L</v>
      </c>
      <c r="J335" t="str">
        <f t="shared" si="38"/>
        <v>2326½</v>
      </c>
      <c r="K335" t="str">
        <f t="shared" si="39"/>
        <v>2330½</v>
      </c>
      <c r="L335" t="str">
        <f t="shared" si="40"/>
        <v>Plat 4</v>
      </c>
      <c r="M335" s="8" t="str">
        <f t="shared" si="36"/>
        <v>4</v>
      </c>
      <c r="N335" t="s">
        <v>636</v>
      </c>
    </row>
    <row r="336" spans="2:14" ht="15" customHeight="1" x14ac:dyDescent="0.25">
      <c r="B336" s="3" t="s">
        <v>989</v>
      </c>
      <c r="C336" s="1" t="s">
        <v>990</v>
      </c>
      <c r="D336" s="2" t="s">
        <v>636</v>
      </c>
      <c r="E336" s="1" t="s">
        <v>491</v>
      </c>
      <c r="F336" s="2" t="s">
        <v>635</v>
      </c>
      <c r="G336" s="1" t="s">
        <v>991</v>
      </c>
      <c r="H336" s="1" t="s">
        <v>3</v>
      </c>
      <c r="I336" t="str">
        <f t="shared" si="37"/>
        <v>1L</v>
      </c>
      <c r="J336" t="str">
        <f t="shared" si="38"/>
        <v xml:space="preserve">2331 </v>
      </c>
      <c r="K336" t="str">
        <f t="shared" si="39"/>
        <v xml:space="preserve">2335 </v>
      </c>
      <c r="L336" t="str">
        <f t="shared" si="40"/>
        <v>Plat 2</v>
      </c>
      <c r="M336" s="8" t="str">
        <f t="shared" si="36"/>
        <v>2</v>
      </c>
      <c r="N336" t="s">
        <v>635</v>
      </c>
    </row>
    <row r="337" spans="2:14" ht="15" customHeight="1" x14ac:dyDescent="0.25">
      <c r="B337" s="3" t="s">
        <v>992</v>
      </c>
      <c r="C337" s="1" t="s">
        <v>993</v>
      </c>
      <c r="D337" s="2" t="s">
        <v>635</v>
      </c>
      <c r="E337" s="1" t="s">
        <v>489</v>
      </c>
      <c r="F337" s="2" t="s">
        <v>636</v>
      </c>
      <c r="G337" s="1" t="s">
        <v>994</v>
      </c>
      <c r="H337" s="1" t="s">
        <v>3</v>
      </c>
      <c r="I337" t="str">
        <f t="shared" si="37"/>
        <v>1H</v>
      </c>
      <c r="J337" t="str">
        <f t="shared" si="38"/>
        <v>2331½</v>
      </c>
      <c r="K337" t="str">
        <f t="shared" si="39"/>
        <v>2335½</v>
      </c>
      <c r="L337" t="str">
        <f t="shared" si="40"/>
        <v>Plat 3</v>
      </c>
      <c r="M337" s="8" t="str">
        <f t="shared" si="36"/>
        <v>3</v>
      </c>
      <c r="N337" t="s">
        <v>636</v>
      </c>
    </row>
    <row r="338" spans="2:14" ht="15" customHeight="1" x14ac:dyDescent="0.25">
      <c r="B338" s="3" t="s">
        <v>995</v>
      </c>
      <c r="C338" s="1" t="s">
        <v>996</v>
      </c>
      <c r="D338" s="2" t="s">
        <v>636</v>
      </c>
      <c r="E338" s="1" t="s">
        <v>492</v>
      </c>
      <c r="F338" s="2" t="s">
        <v>635</v>
      </c>
      <c r="G338" s="1" t="s">
        <v>997</v>
      </c>
      <c r="H338" s="1" t="s">
        <v>3</v>
      </c>
      <c r="I338" t="str">
        <f t="shared" si="37"/>
        <v>1L</v>
      </c>
      <c r="J338" t="str">
        <f t="shared" si="38"/>
        <v xml:space="preserve">2336 </v>
      </c>
      <c r="K338" t="str">
        <f t="shared" si="39"/>
        <v xml:space="preserve">2340 </v>
      </c>
      <c r="L338" t="str">
        <f t="shared" si="40"/>
        <v>Plat 1</v>
      </c>
      <c r="M338" s="8" t="str">
        <f t="shared" si="36"/>
        <v>1</v>
      </c>
      <c r="N338" t="s">
        <v>635</v>
      </c>
    </row>
    <row r="339" spans="2:14" ht="15" customHeight="1" x14ac:dyDescent="0.25">
      <c r="B339" s="3" t="s">
        <v>998</v>
      </c>
      <c r="C339" s="1" t="s">
        <v>999</v>
      </c>
      <c r="D339" s="2" t="s">
        <v>635</v>
      </c>
      <c r="E339" s="1" t="s">
        <v>490</v>
      </c>
      <c r="F339" s="2" t="s">
        <v>636</v>
      </c>
      <c r="G339" s="1" t="s">
        <v>1000</v>
      </c>
      <c r="H339" s="1" t="s">
        <v>3</v>
      </c>
      <c r="I339" t="str">
        <f t="shared" si="37"/>
        <v>1H</v>
      </c>
      <c r="J339" t="str">
        <f t="shared" si="38"/>
        <v xml:space="preserve">2338 </v>
      </c>
      <c r="K339" t="str">
        <f t="shared" si="39"/>
        <v xml:space="preserve">2342 </v>
      </c>
      <c r="L339" t="str">
        <f t="shared" si="40"/>
        <v>Plat 4</v>
      </c>
      <c r="M339" s="8" t="str">
        <f t="shared" si="36"/>
        <v>4</v>
      </c>
      <c r="N339" t="s">
        <v>636</v>
      </c>
    </row>
    <row r="340" spans="2:14" ht="15" customHeight="1" x14ac:dyDescent="0.25">
      <c r="B340" s="3" t="s">
        <v>1001</v>
      </c>
      <c r="C340" s="1" t="s">
        <v>1000</v>
      </c>
      <c r="D340" s="2" t="s">
        <v>637</v>
      </c>
      <c r="E340" s="1" t="s">
        <v>491</v>
      </c>
      <c r="F340" s="2" t="s">
        <v>635</v>
      </c>
      <c r="G340" s="1" t="s">
        <v>1002</v>
      </c>
      <c r="H340" s="1" t="s">
        <v>3</v>
      </c>
      <c r="I340" t="str">
        <f t="shared" si="37"/>
        <v>1J</v>
      </c>
      <c r="J340" t="str">
        <f t="shared" si="38"/>
        <v xml:space="preserve">2342 </v>
      </c>
      <c r="K340" t="str">
        <f t="shared" si="39"/>
        <v xml:space="preserve">2345 </v>
      </c>
      <c r="L340" t="str">
        <f t="shared" si="40"/>
        <v>Plat 2</v>
      </c>
      <c r="M340" s="8" t="str">
        <f t="shared" si="36"/>
        <v>2</v>
      </c>
      <c r="N340" t="s">
        <v>635</v>
      </c>
    </row>
    <row r="341" spans="2:14" ht="15" customHeight="1" x14ac:dyDescent="0.25">
      <c r="B341" s="3" t="s">
        <v>1003</v>
      </c>
      <c r="C341" s="1" t="s">
        <v>1000</v>
      </c>
      <c r="D341" s="2" t="s">
        <v>635</v>
      </c>
      <c r="E341" s="1" t="s">
        <v>489</v>
      </c>
      <c r="F341" s="2" t="s">
        <v>636</v>
      </c>
      <c r="G341" s="1" t="s">
        <v>1004</v>
      </c>
      <c r="H341" s="1" t="s">
        <v>3</v>
      </c>
      <c r="I341" t="str">
        <f t="shared" si="37"/>
        <v>1L</v>
      </c>
      <c r="J341" t="str">
        <f t="shared" si="38"/>
        <v xml:space="preserve">2342 </v>
      </c>
      <c r="K341" t="str">
        <f t="shared" si="39"/>
        <v xml:space="preserve">2346 </v>
      </c>
      <c r="L341" t="str">
        <f t="shared" si="40"/>
        <v>Plat 3</v>
      </c>
      <c r="M341" s="8" t="str">
        <f t="shared" si="36"/>
        <v>3</v>
      </c>
      <c r="N341" t="s">
        <v>636</v>
      </c>
    </row>
    <row r="342" spans="2:14" ht="15" customHeight="1" x14ac:dyDescent="0.25">
      <c r="B342" s="3" t="s">
        <v>1005</v>
      </c>
      <c r="C342" s="1" t="s">
        <v>1006</v>
      </c>
      <c r="D342" s="2" t="s">
        <v>636</v>
      </c>
      <c r="E342" s="1" t="s">
        <v>492</v>
      </c>
      <c r="F342" s="2" t="s">
        <v>635</v>
      </c>
      <c r="G342" s="1" t="s">
        <v>1007</v>
      </c>
      <c r="H342" s="1" t="s">
        <v>3</v>
      </c>
      <c r="I342" t="str">
        <f t="shared" si="37"/>
        <v>1H</v>
      </c>
      <c r="J342" t="str">
        <f t="shared" si="38"/>
        <v>2345½</v>
      </c>
      <c r="K342" t="str">
        <f t="shared" si="39"/>
        <v xml:space="preserve">2350 </v>
      </c>
      <c r="L342" t="str">
        <f t="shared" si="40"/>
        <v>Plat 1</v>
      </c>
      <c r="M342" s="8" t="str">
        <f t="shared" si="36"/>
        <v>1</v>
      </c>
      <c r="N342" t="s">
        <v>635</v>
      </c>
    </row>
    <row r="343" spans="2:14" ht="15" customHeight="1" x14ac:dyDescent="0.25">
      <c r="B343" s="3" t="s">
        <v>1008</v>
      </c>
      <c r="C343" s="1" t="s">
        <v>1009</v>
      </c>
      <c r="D343" s="2" t="s">
        <v>635</v>
      </c>
      <c r="E343" s="1" t="s">
        <v>490</v>
      </c>
      <c r="F343" s="2" t="s">
        <v>636</v>
      </c>
      <c r="G343" s="1" t="s">
        <v>1010</v>
      </c>
      <c r="H343" s="1" t="s">
        <v>3</v>
      </c>
      <c r="I343" t="str">
        <f t="shared" si="37"/>
        <v>1L</v>
      </c>
      <c r="J343" t="str">
        <f t="shared" si="38"/>
        <v>2346½</v>
      </c>
      <c r="K343" t="str">
        <f t="shared" si="39"/>
        <v>2350½</v>
      </c>
      <c r="L343" t="str">
        <f t="shared" si="40"/>
        <v>Plat 4</v>
      </c>
      <c r="M343" s="8" t="str">
        <f t="shared" si="36"/>
        <v>4</v>
      </c>
      <c r="N343" t="s">
        <v>636</v>
      </c>
    </row>
    <row r="344" spans="2:14" ht="15" customHeight="1" x14ac:dyDescent="0.25">
      <c r="B344" s="3" t="s">
        <v>1011</v>
      </c>
      <c r="C344" s="1" t="s">
        <v>1012</v>
      </c>
      <c r="D344" s="2" t="s">
        <v>636</v>
      </c>
      <c r="E344" s="1" t="s">
        <v>491</v>
      </c>
      <c r="F344" s="2" t="s">
        <v>635</v>
      </c>
      <c r="G344" s="1" t="s">
        <v>1013</v>
      </c>
      <c r="H344" s="1" t="s">
        <v>3</v>
      </c>
      <c r="I344" t="str">
        <f t="shared" si="37"/>
        <v>1H</v>
      </c>
      <c r="J344" t="str">
        <f t="shared" si="38"/>
        <v xml:space="preserve">2351 </v>
      </c>
      <c r="K344" t="str">
        <f t="shared" si="39"/>
        <v xml:space="preserve">2355 </v>
      </c>
      <c r="L344" t="str">
        <f t="shared" si="40"/>
        <v>Plat 2</v>
      </c>
      <c r="M344" s="8" t="str">
        <f t="shared" si="36"/>
        <v>2</v>
      </c>
      <c r="N344" t="s">
        <v>635</v>
      </c>
    </row>
    <row r="345" spans="2:14" ht="15" customHeight="1" x14ac:dyDescent="0.25">
      <c r="B345" s="3" t="s">
        <v>1014</v>
      </c>
      <c r="C345" s="1" t="s">
        <v>1015</v>
      </c>
      <c r="D345" s="2" t="s">
        <v>635</v>
      </c>
      <c r="E345" s="1" t="s">
        <v>489</v>
      </c>
      <c r="F345" s="2" t="s">
        <v>636</v>
      </c>
      <c r="G345" s="1" t="s">
        <v>247</v>
      </c>
      <c r="H345" s="1" t="s">
        <v>3</v>
      </c>
      <c r="I345" t="str">
        <f t="shared" si="37"/>
        <v>1H</v>
      </c>
      <c r="J345" t="str">
        <f t="shared" si="38"/>
        <v xml:space="preserve">2353 </v>
      </c>
      <c r="K345" t="str">
        <f t="shared" si="39"/>
        <v xml:space="preserve">2357 </v>
      </c>
      <c r="L345" t="str">
        <f t="shared" si="40"/>
        <v>Plat 3</v>
      </c>
      <c r="M345" s="8" t="str">
        <f t="shared" si="36"/>
        <v>3</v>
      </c>
      <c r="N345" t="s">
        <v>636</v>
      </c>
    </row>
    <row r="346" spans="2:14" ht="15" customHeight="1" x14ac:dyDescent="0.25">
      <c r="B346" s="3" t="s">
        <v>1016</v>
      </c>
      <c r="C346" s="1" t="s">
        <v>1017</v>
      </c>
      <c r="D346" s="2" t="s">
        <v>636</v>
      </c>
      <c r="E346" s="1" t="s">
        <v>492</v>
      </c>
      <c r="F346" s="2" t="s">
        <v>635</v>
      </c>
      <c r="G346" s="1" t="s">
        <v>1018</v>
      </c>
      <c r="H346" s="1" t="s">
        <v>3</v>
      </c>
      <c r="I346" t="str">
        <f t="shared" si="37"/>
        <v>1L</v>
      </c>
      <c r="J346" t="str">
        <f t="shared" si="38"/>
        <v xml:space="preserve">2356 </v>
      </c>
      <c r="K346" t="str">
        <f t="shared" si="39"/>
        <v xml:space="preserve">2359 </v>
      </c>
      <c r="L346" t="str">
        <f t="shared" si="40"/>
        <v>Plat 1</v>
      </c>
      <c r="M346" s="8" t="str">
        <f t="shared" si="36"/>
        <v>1</v>
      </c>
      <c r="N346" t="s">
        <v>635</v>
      </c>
    </row>
  </sheetData>
  <autoFilter ref="B1:M346"/>
  <hyperlinks>
    <hyperlink ref="B38" r:id="rId1" display="http://www.opentraintimes.com/schedule/W39630/2012/8/7"/>
    <hyperlink ref="B39" r:id="rId2" display="http://www.opentraintimes.com/schedule/W39642/2012/8/7"/>
    <hyperlink ref="B40" r:id="rId3" display="http://www.opentraintimes.com/schedule/W39632/2012/8/7"/>
    <hyperlink ref="B41" r:id="rId4" display="http://www.opentraintimes.com/schedule/W39444/2012/8/7"/>
    <hyperlink ref="B42" r:id="rId5" display="http://www.opentraintimes.com/schedule/W39634/2012/8/7"/>
    <hyperlink ref="B43" r:id="rId6" display="http://www.opentraintimes.com/schedule/W39292/2012/8/7"/>
    <hyperlink ref="B44" r:id="rId7" display="http://www.opentraintimes.com/schedule/W39386/2012/8/7"/>
    <hyperlink ref="B45" r:id="rId8" display="http://www.opentraintimes.com/schedule/W39822/2012/8/7"/>
    <hyperlink ref="B46" r:id="rId9" display="http://www.opentraintimes.com/schedule/W39820/2012/8/7"/>
    <hyperlink ref="B47" r:id="rId10" display="http://www.opentraintimes.com/schedule/W39826/2012/8/7"/>
    <hyperlink ref="B48" r:id="rId11" display="http://www.opentraintimes.com/schedule/W39824/2012/8/7"/>
    <hyperlink ref="B50" r:id="rId12" display="http://www.opentraintimes.com/schedule/W39828/2012/8/7"/>
    <hyperlink ref="B51" r:id="rId13" display="http://www.opentraintimes.com/schedule/W39834/2012/8/7"/>
    <hyperlink ref="B52" r:id="rId14" display="http://www.opentraintimes.com/schedule/W39832/2012/8/7"/>
    <hyperlink ref="B53" r:id="rId15" display="http://www.opentraintimes.com/schedule/W39838/2012/8/7"/>
    <hyperlink ref="B54" r:id="rId16" display="http://www.opentraintimes.com/schedule/W39836/2012/8/7"/>
    <hyperlink ref="B55" r:id="rId17" display="http://www.opentraintimes.com/schedule/W38837/2012/8/7"/>
    <hyperlink ref="B56" r:id="rId18" display="http://www.opentraintimes.com/schedule/W38835/2012/8/7"/>
    <hyperlink ref="B57" r:id="rId19" display="http://www.opentraintimes.com/schedule/W38840/2012/8/7"/>
    <hyperlink ref="B58" r:id="rId20" display="http://www.opentraintimes.com/schedule/W38838/2012/8/7"/>
    <hyperlink ref="B59" r:id="rId21" display="http://www.opentraintimes.com/schedule/W38832/2012/8/7"/>
    <hyperlink ref="B60" r:id="rId22" display="http://www.opentraintimes.com/schedule/W30546/2012/8/7"/>
    <hyperlink ref="B62" r:id="rId23" display="http://www.opentraintimes.com/schedule/W30548/2012/8/7"/>
    <hyperlink ref="B63" r:id="rId24" display="http://www.opentraintimes.com/schedule/W30110/2012/8/7"/>
    <hyperlink ref="B64" r:id="rId25" display="http://www.opentraintimes.com/schedule/W39447/2012/8/7"/>
    <hyperlink ref="B65" r:id="rId26" display="http://www.opentraintimes.com/schedule/W30550/2012/8/7"/>
    <hyperlink ref="B66" r:id="rId27" display="http://www.opentraintimes.com/schedule/W39647/2012/8/7"/>
    <hyperlink ref="B67" r:id="rId28" display="http://www.opentraintimes.com/schedule/W30114/2012/8/7"/>
    <hyperlink ref="B68" r:id="rId29" display="http://www.opentraintimes.com/schedule/W39451/2012/8/7"/>
    <hyperlink ref="B70" r:id="rId30" display="http://www.opentraintimes.com/schedule/W30556/2012/8/7"/>
    <hyperlink ref="B71" r:id="rId31" display="http://www.opentraintimes.com/schedule/W39449/2012/8/7"/>
    <hyperlink ref="B72" r:id="rId32" display="http://www.opentraintimes.com/schedule/W39453/2012/8/7"/>
    <hyperlink ref="B73" r:id="rId33" display="http://www.opentraintimes.com/schedule/W30554/2012/8/7"/>
    <hyperlink ref="B74" r:id="rId34" display="http://www.opentraintimes.com/schedule/W30116/2012/8/7"/>
    <hyperlink ref="B75" r:id="rId35" display="http://www.opentraintimes.com/schedule/W30118/2012/8/7"/>
    <hyperlink ref="B76" r:id="rId36" display="http://www.opentraintimes.com/schedule/W39649/2012/8/7"/>
    <hyperlink ref="B77" r:id="rId37" display="http://www.opentraintimes.com/schedule/W38829/2012/8/7"/>
    <hyperlink ref="B78" r:id="rId38" display="http://www.opentraintimes.com/schedule/W00066/2012/8/7"/>
    <hyperlink ref="B79" r:id="rId39" display="http://www.opentraintimes.com/schedule/W30005/2012/8/7"/>
    <hyperlink ref="B80" r:id="rId40" display="http://www.opentraintimes.com/schedule/W30559/2012/8/7"/>
    <hyperlink ref="B81" r:id="rId41" display="http://www.opentraintimes.com/schedule/W39455/2012/8/7"/>
    <hyperlink ref="B82" r:id="rId42" display="http://www.opentraintimes.com/schedule/W39651/2012/8/7"/>
    <hyperlink ref="B83" r:id="rId43" display="http://www.opentraintimes.com/schedule/W30121/2012/8/7"/>
    <hyperlink ref="B84" r:id="rId44" display="http://www.opentraintimes.com/schedule/W39457/2012/8/7"/>
    <hyperlink ref="B85" r:id="rId45" display="http://www.opentraintimes.com/schedule/W39653/2012/8/7"/>
    <hyperlink ref="B86" r:id="rId46" display="http://www.opentraintimes.com/schedule/W30561/2012/8/7"/>
    <hyperlink ref="B87" r:id="rId47" display="http://www.opentraintimes.com/schedule/W39459/2012/8/7"/>
    <hyperlink ref="B88" r:id="rId48" display="http://www.opentraintimes.com/schedule/W39461/2012/8/7"/>
    <hyperlink ref="B89" r:id="rId49" display="http://www.opentraintimes.com/schedule/W30560/2012/8/7"/>
    <hyperlink ref="B90" r:id="rId50" display="http://www.opentraintimes.com/schedule/W30123/2012/8/7"/>
    <hyperlink ref="B91" r:id="rId51" display="http://www.opentraintimes.com/schedule/W39657/2012/8/7"/>
    <hyperlink ref="B92" r:id="rId52" display="http://www.opentraintimes.com/schedule/W39655/2012/8/7"/>
    <hyperlink ref="B93" r:id="rId53" display="http://www.opentraintimes.com/schedule/W39391/2012/8/7"/>
    <hyperlink ref="B94" r:id="rId54" display="http://www.opentraintimes.com/schedule/W39393/2012/8/7"/>
    <hyperlink ref="B95" r:id="rId55" display="http://www.opentraintimes.com/schedule/W30563/2012/8/7"/>
    <hyperlink ref="B96" r:id="rId56" display="http://www.opentraintimes.com/schedule/W30565/2012/8/7"/>
    <hyperlink ref="B97" r:id="rId57" display="http://www.opentraintimes.com/schedule/W39463/2012/8/7"/>
    <hyperlink ref="B98" r:id="rId58" display="http://www.opentraintimes.com/schedule/W39659/2012/8/7"/>
    <hyperlink ref="B99" r:id="rId59" display="http://www.opentraintimes.com/schedule/W30131/2012/8/7"/>
    <hyperlink ref="B100" r:id="rId60" display="http://www.opentraintimes.com/schedule/W39465/2012/8/7"/>
    <hyperlink ref="B37" r:id="rId61" display="http://www.opentraintimes.com/schedule/W39628/2012/8/7"/>
    <hyperlink ref="B49" r:id="rId62" display="http://www.opentraintimes.com/schedule/W39830/2012/8/7"/>
    <hyperlink ref="B61" r:id="rId63" display="http://www.opentraintimes.com/schedule/W39645/2012/8/7"/>
    <hyperlink ref="B69" r:id="rId64" display="http://www.opentraintimes.com/schedule/W38831/2012/8/7"/>
    <hyperlink ref="B13" r:id="rId65" display="http://www.opentraintimes.com/schedule/W39608/2012/8/7"/>
    <hyperlink ref="B14" r:id="rId66" display="http://www.opentraintimes.com/schedule/W39808/2012/8/7"/>
    <hyperlink ref="B15" r:id="rId67" display="http://www.opentraintimes.com/schedule/W39612/2012/8/7"/>
    <hyperlink ref="B16" r:id="rId68" display="http://www.opentraintimes.com/schedule/W39614/2012/8/7"/>
    <hyperlink ref="B17" r:id="rId69" display="http://www.opentraintimes.com/schedule/W34001/2012/8/7"/>
    <hyperlink ref="B18" r:id="rId70" display="http://www.opentraintimes.com/schedule/W34007/2012/8/7"/>
    <hyperlink ref="B19" r:id="rId71" display="http://www.opentraintimes.com/schedule/W39616/2012/8/7"/>
    <hyperlink ref="B20" r:id="rId72" display="http://www.opentraintimes.com/schedule/W39618/2012/8/7"/>
    <hyperlink ref="B21" r:id="rId73" display="http://www.opentraintimes.com/schedule/W39810/2012/8/7"/>
    <hyperlink ref="B22" r:id="rId74" display="http://www.opentraintimes.com/schedule/W39300/2012/8/7"/>
    <hyperlink ref="B23" r:id="rId75" display="http://www.opentraintimes.com/schedule/W39814/2012/8/7"/>
    <hyperlink ref="B24" r:id="rId76" display="http://www.opentraintimes.com/schedule/W34016/2012/8/7"/>
    <hyperlink ref="B25" r:id="rId77" display="http://www.opentraintimes.com/schedule/W39620/2012/8/7"/>
    <hyperlink ref="B26" r:id="rId78" display="http://www.opentraintimes.com/schedule/W39636/2012/8/7"/>
    <hyperlink ref="B27" r:id="rId79" display="http://www.opentraintimes.com/schedule/W39816/2012/8/7"/>
    <hyperlink ref="B28" r:id="rId80" display="http://www.opentraintimes.com/schedule/W36780/2012/8/7"/>
    <hyperlink ref="B29" r:id="rId81" display="http://www.opentraintimes.com/schedule/W36752/2012/8/7"/>
    <hyperlink ref="B30" r:id="rId82" display="http://www.opentraintimes.com/schedule/W36755/2012/8/7"/>
    <hyperlink ref="B31" r:id="rId83" display="http://www.opentraintimes.com/schedule/W39638/2012/8/7"/>
    <hyperlink ref="B32" r:id="rId84" display="http://www.opentraintimes.com/schedule/W39304/2012/8/7"/>
    <hyperlink ref="B33" r:id="rId85" display="http://www.opentraintimes.com/schedule/W36783/2012/8/7"/>
    <hyperlink ref="B34" r:id="rId86" display="http://www.opentraintimes.com/schedule/W39442/2012/8/7"/>
    <hyperlink ref="B35" r:id="rId87" display="http://www.opentraintimes.com/schedule/W36734/2012/8/7"/>
    <hyperlink ref="B36" r:id="rId88" display="http://www.opentraintimes.com/schedule/W39640/2012/8/7"/>
    <hyperlink ref="B2" r:id="rId89" display="http://www.opentraintimes.com/schedule/W39603/2012/8/6"/>
    <hyperlink ref="B3" r:id="rId90" display="http://www.opentraintimes.com/schedule/W39795/2012/8/6"/>
    <hyperlink ref="B4" r:id="rId91" display="http://www.opentraintimes.com/schedule/W39797/2012/8/6"/>
    <hyperlink ref="B5" r:id="rId92" display="http://www.opentraintimes.com/schedule/W36743/2012/8/6"/>
    <hyperlink ref="B6" r:id="rId93" display="http://www.opentraintimes.com/schedule/W36746/2012/8/7"/>
    <hyperlink ref="B7" r:id="rId94" display="http://www.opentraintimes.com/schedule/W39604/2012/8/7"/>
    <hyperlink ref="B8" r:id="rId95" display="http://www.opentraintimes.com/schedule/W39800/2012/8/7"/>
    <hyperlink ref="B9" r:id="rId96" display="http://www.opentraintimes.com/schedule/W39798/2012/8/7"/>
    <hyperlink ref="B10" r:id="rId97" display="http://www.opentraintimes.com/schedule/W39804/2012/8/7"/>
    <hyperlink ref="B11" r:id="rId98" display="http://www.opentraintimes.com/schedule/W39802/2012/8/7"/>
    <hyperlink ref="B12" r:id="rId99" display="http://www.opentraintimes.com/schedule/W36749/2012/8/7"/>
    <hyperlink ref="B101" r:id="rId100" display="http://www.opentraintimes.com/schedule/W39661/2012/8/7"/>
    <hyperlink ref="B102" r:id="rId101" display="http://www.opentraintimes.com/schedule/W30571/2012/8/7"/>
    <hyperlink ref="B103" r:id="rId102" display="http://www.opentraintimes.com/schedule/W39467/2012/8/7"/>
    <hyperlink ref="B104" r:id="rId103" display="http://www.opentraintimes.com/schedule/W39469/2012/8/7"/>
    <hyperlink ref="B105" r:id="rId104" display="http://www.opentraintimes.com/schedule/W30568/2012/8/7"/>
    <hyperlink ref="B106" r:id="rId105" display="http://www.opentraintimes.com/schedule/W30133/2012/8/7"/>
    <hyperlink ref="B107" r:id="rId106" display="http://www.opentraintimes.com/schedule/W39665/2012/8/7"/>
    <hyperlink ref="B108" r:id="rId107" display="http://www.opentraintimes.com/schedule/W39663/2012/8/7"/>
    <hyperlink ref="B109" r:id="rId108" display="http://www.opentraintimes.com/schedule/W39395/2012/8/7"/>
    <hyperlink ref="B110" r:id="rId109" display="http://www.opentraintimes.com/schedule/W39397/2012/8/7"/>
    <hyperlink ref="B111" r:id="rId110" display="http://www.opentraintimes.com/schedule/W30576/2012/8/7"/>
    <hyperlink ref="B112" r:id="rId111" display="http://www.opentraintimes.com/schedule/W30577/2012/8/7"/>
    <hyperlink ref="B113" r:id="rId112" display="http://www.opentraintimes.com/schedule/W39471/2012/8/7"/>
    <hyperlink ref="B114" r:id="rId113" display="http://www.opentraintimes.com/schedule/W39667/2012/8/7"/>
    <hyperlink ref="B115" r:id="rId114" display="http://www.opentraintimes.com/schedule/W30142/2012/8/7"/>
    <hyperlink ref="B116" r:id="rId115" display="http://www.opentraintimes.com/schedule/W39473/2012/8/7"/>
    <hyperlink ref="B117" r:id="rId116" display="http://www.opentraintimes.com/schedule/W39669/2012/8/7"/>
    <hyperlink ref="B118" r:id="rId117" display="http://www.opentraintimes.com/schedule/W30583/2012/8/7"/>
    <hyperlink ref="B119" r:id="rId118" display="http://www.opentraintimes.com/schedule/W39475/2012/8/7"/>
    <hyperlink ref="B120" r:id="rId119" display="http://www.opentraintimes.com/schedule/W39477/2012/8/7"/>
    <hyperlink ref="B121" r:id="rId120" display="http://www.opentraintimes.com/schedule/W30580/2012/8/7"/>
    <hyperlink ref="B122" r:id="rId121" display="http://www.opentraintimes.com/schedule/W30147/2012/8/7"/>
    <hyperlink ref="B123" r:id="rId122" display="http://www.opentraintimes.com/schedule/W39673/2012/8/7"/>
    <hyperlink ref="B124" r:id="rId123" display="http://www.opentraintimes.com/schedule/W39671/2012/8/7"/>
    <hyperlink ref="B125" r:id="rId124" display="http://www.opentraintimes.com/schedule/W39399/2012/8/7"/>
    <hyperlink ref="B126" r:id="rId125" display="http://www.opentraintimes.com/schedule/W39401/2012/8/7"/>
    <hyperlink ref="B127" r:id="rId126" display="http://www.opentraintimes.com/schedule/W30586/2012/8/7"/>
    <hyperlink ref="B128" r:id="rId127" display="http://www.opentraintimes.com/schedule/W30589/2012/8/7"/>
    <hyperlink ref="B129" r:id="rId128" display="http://www.opentraintimes.com/schedule/W39479/2012/8/7"/>
    <hyperlink ref="B130" r:id="rId129" display="http://www.opentraintimes.com/schedule/W39675/2012/8/7"/>
    <hyperlink ref="B131" r:id="rId130" display="http://www.opentraintimes.com/schedule/W30157/2012/8/7"/>
    <hyperlink ref="B132" r:id="rId131" display="http://www.opentraintimes.com/schedule/W39481/2012/8/7"/>
    <hyperlink ref="B133" r:id="rId132" display="http://www.opentraintimes.com/schedule/W39677/2012/8/7"/>
    <hyperlink ref="B134" r:id="rId133" display="http://www.opentraintimes.com/schedule/W30595/2012/8/7"/>
    <hyperlink ref="B135" r:id="rId134" display="http://www.opentraintimes.com/schedule/W39483/2012/8/7"/>
    <hyperlink ref="B136" r:id="rId135" display="http://www.opentraintimes.com/schedule/W39485/2012/8/7"/>
    <hyperlink ref="B137" r:id="rId136" display="http://www.opentraintimes.com/schedule/W30592/2012/8/7"/>
    <hyperlink ref="B138" r:id="rId137" display="http://www.opentraintimes.com/schedule/W30162/2012/8/7"/>
    <hyperlink ref="B139" r:id="rId138" display="http://www.opentraintimes.com/schedule/W39681/2012/8/7"/>
    <hyperlink ref="B140" r:id="rId139" display="http://www.opentraintimes.com/schedule/W39679/2012/8/7"/>
    <hyperlink ref="B141" r:id="rId140" display="http://www.opentraintimes.com/schedule/W39403/2012/8/7"/>
    <hyperlink ref="B142" r:id="rId141" display="http://www.opentraintimes.com/schedule/W39405/2012/8/7"/>
    <hyperlink ref="B143" r:id="rId142" display="http://www.opentraintimes.com/schedule/W30600/2012/8/7"/>
    <hyperlink ref="B144" r:id="rId143" display="http://www.opentraintimes.com/schedule/W30601/2012/8/7"/>
    <hyperlink ref="B145" r:id="rId144" display="http://www.opentraintimes.com/schedule/W39487/2012/8/7"/>
    <hyperlink ref="B146" r:id="rId145" display="http://www.opentraintimes.com/schedule/W39683/2012/8/7"/>
    <hyperlink ref="B147" r:id="rId146" display="http://www.opentraintimes.com/schedule/W30171/2012/8/7"/>
    <hyperlink ref="B148" r:id="rId147" display="http://www.opentraintimes.com/schedule/W39489/2012/8/7"/>
    <hyperlink ref="B149" r:id="rId148" display="http://www.opentraintimes.com/schedule/W39685/2012/8/7"/>
    <hyperlink ref="B150" r:id="rId149" display="http://www.opentraintimes.com/schedule/W30607/2012/8/7"/>
    <hyperlink ref="B151" r:id="rId150" display="http://www.opentraintimes.com/schedule/W39491/2012/8/7"/>
    <hyperlink ref="B152" r:id="rId151" display="http://www.opentraintimes.com/schedule/W39493/2012/8/7"/>
    <hyperlink ref="B153" r:id="rId152" display="http://www.opentraintimes.com/schedule/W30604/2012/8/7"/>
    <hyperlink ref="B154" r:id="rId153" display="http://www.opentraintimes.com/schedule/W30177/2012/8/7"/>
    <hyperlink ref="B155" r:id="rId154" display="http://www.opentraintimes.com/schedule/W39689/2012/8/7"/>
    <hyperlink ref="B156" r:id="rId155" display="http://www.opentraintimes.com/schedule/W39687/2012/8/7"/>
    <hyperlink ref="B157" r:id="rId156" display="http://www.opentraintimes.com/schedule/W39407/2012/8/7"/>
    <hyperlink ref="B158" r:id="rId157" display="http://www.opentraintimes.com/schedule/W39409/2012/8/7"/>
    <hyperlink ref="B159" r:id="rId158" display="http://www.opentraintimes.com/schedule/W30610/2012/8/7"/>
    <hyperlink ref="B160" r:id="rId159" display="http://www.opentraintimes.com/schedule/W30613/2012/8/7"/>
    <hyperlink ref="B161" r:id="rId160" display="http://www.opentraintimes.com/schedule/W39495/2012/8/7"/>
    <hyperlink ref="B162" r:id="rId161" display="http://www.opentraintimes.com/schedule/W39691/2012/8/7"/>
    <hyperlink ref="B163" r:id="rId162" display="http://www.opentraintimes.com/schedule/W30185/2012/8/7"/>
    <hyperlink ref="B164" r:id="rId163" display="http://www.opentraintimes.com/schedule/W39497/2012/8/7"/>
    <hyperlink ref="B165" r:id="rId164" display="http://www.opentraintimes.com/schedule/W39693/2012/8/7"/>
    <hyperlink ref="B166" r:id="rId165" display="http://www.opentraintimes.com/schedule/W30619/2012/8/7"/>
    <hyperlink ref="B167" r:id="rId166" display="http://www.opentraintimes.com/schedule/W39499/2012/8/7"/>
    <hyperlink ref="B168" r:id="rId167" display="http://www.opentraintimes.com/schedule/W39501/2012/8/7"/>
    <hyperlink ref="B169" r:id="rId168" display="http://www.opentraintimes.com/schedule/W30616/2012/8/7"/>
    <hyperlink ref="B170" r:id="rId169" display="http://www.opentraintimes.com/schedule/W30191/2012/8/7"/>
    <hyperlink ref="B171" r:id="rId170" display="http://www.opentraintimes.com/schedule/W39697/2012/8/7"/>
    <hyperlink ref="B172" r:id="rId171" display="http://www.opentraintimes.com/schedule/W39695/2012/8/7"/>
    <hyperlink ref="B173" r:id="rId172" display="http://www.opentraintimes.com/schedule/W39411/2012/8/7"/>
    <hyperlink ref="B174" r:id="rId173" display="http://www.opentraintimes.com/schedule/W39413/2012/8/7"/>
    <hyperlink ref="B175" r:id="rId174" display="http://www.opentraintimes.com/schedule/W30624/2012/8/7"/>
    <hyperlink ref="B176" r:id="rId175" display="http://www.opentraintimes.com/schedule/W30625/2012/8/7"/>
    <hyperlink ref="B177" r:id="rId176" display="http://www.opentraintimes.com/schedule/W39503/2012/8/7"/>
    <hyperlink ref="B178" r:id="rId177" display="http://www.opentraintimes.com/schedule/W39699/2012/8/7"/>
    <hyperlink ref="B179" r:id="rId178" display="http://www.opentraintimes.com/schedule/W30200/2012/8/7"/>
    <hyperlink ref="B180" r:id="rId179" display="http://www.opentraintimes.com/schedule/W39509/2012/8/7"/>
    <hyperlink ref="B181" r:id="rId180" display="http://www.opentraintimes.com/schedule/W39701/2012/8/7"/>
    <hyperlink ref="B182" r:id="rId181" display="http://www.opentraintimes.com/schedule/W30631/2012/8/7"/>
    <hyperlink ref="B183" r:id="rId182" display="http://www.opentraintimes.com/schedule/W39511/2012/8/7"/>
    <hyperlink ref="B184" r:id="rId183" display="http://www.opentraintimes.com/schedule/W39513/2012/8/7"/>
    <hyperlink ref="B185" r:id="rId184" display="http://www.opentraintimes.com/schedule/W30628/2012/8/7"/>
    <hyperlink ref="B186" r:id="rId185" display="http://www.opentraintimes.com/schedule/W30206/2012/8/7"/>
    <hyperlink ref="B187" r:id="rId186" display="http://www.opentraintimes.com/schedule/W39705/2012/8/7"/>
    <hyperlink ref="B188" r:id="rId187" display="http://www.opentraintimes.com/schedule/W39703/2012/8/7"/>
    <hyperlink ref="B189" r:id="rId188" display="http://www.opentraintimes.com/schedule/W39415/2012/8/7"/>
    <hyperlink ref="B190" r:id="rId189" display="http://www.opentraintimes.com/schedule/W39417/2012/8/7"/>
    <hyperlink ref="B191" r:id="rId190" display="http://www.opentraintimes.com/schedule/W30634/2012/8/7"/>
    <hyperlink ref="B192" r:id="rId191" display="http://www.opentraintimes.com/schedule/W30637/2012/8/7"/>
    <hyperlink ref="B193" r:id="rId192" display="http://www.opentraintimes.com/schedule/W39515/2012/8/7"/>
    <hyperlink ref="B194" r:id="rId193" display="http://www.opentraintimes.com/schedule/W39707/2012/8/7"/>
    <hyperlink ref="B195" r:id="rId194" display="http://www.opentraintimes.com/schedule/W30215/2012/8/7"/>
    <hyperlink ref="B196" r:id="rId195" display="http://www.opentraintimes.com/schedule/W39517/2012/8/7"/>
    <hyperlink ref="B197" r:id="rId196" display="http://www.opentraintimes.com/schedule/W39709/2012/8/7"/>
    <hyperlink ref="B198" r:id="rId197" display="http://www.opentraintimes.com/schedule/W30643/2012/8/7"/>
    <hyperlink ref="B199" r:id="rId198" display="http://www.opentraintimes.com/schedule/W39519/2012/8/7"/>
    <hyperlink ref="B200" r:id="rId199" display="http://www.opentraintimes.com/schedule/W39521/2012/8/7"/>
    <hyperlink ref="B201" r:id="rId200" display="http://www.opentraintimes.com/schedule/W30640/2012/8/7"/>
    <hyperlink ref="B202" r:id="rId201" display="http://www.opentraintimes.com/schedule/W30219/2012/8/7"/>
    <hyperlink ref="B203" r:id="rId202" display="http://www.opentraintimes.com/schedule/W39713/2012/8/7"/>
    <hyperlink ref="B204" r:id="rId203" display="http://www.opentraintimes.com/schedule/W39711/2012/8/7"/>
    <hyperlink ref="B205" r:id="rId204" display="http://www.opentraintimes.com/schedule/W39419/2012/8/7"/>
    <hyperlink ref="B206" r:id="rId205" display="http://www.opentraintimes.com/schedule/W39421/2012/8/7"/>
    <hyperlink ref="B207" r:id="rId206" display="http://www.opentraintimes.com/schedule/W30009/2012/8/7"/>
    <hyperlink ref="B208" r:id="rId207" display="http://www.opentraintimes.com/schedule/W30648/2012/8/7"/>
    <hyperlink ref="B209" r:id="rId208" display="http://www.opentraintimes.com/schedule/W39523/2012/8/7"/>
    <hyperlink ref="B210" r:id="rId209" display="http://www.opentraintimes.com/schedule/W39715/2012/8/7"/>
    <hyperlink ref="B211" r:id="rId210" display="http://www.opentraintimes.com/schedule/W30227/2012/8/7"/>
    <hyperlink ref="B212" r:id="rId211" display="http://www.opentraintimes.com/schedule/W39525/2012/8/7"/>
    <hyperlink ref="B213" r:id="rId212" display="http://www.opentraintimes.com/schedule/W39717/2012/8/7"/>
    <hyperlink ref="B214" r:id="rId213" display="http://www.opentraintimes.com/schedule/W30655/2012/8/7"/>
    <hyperlink ref="B215" r:id="rId214" display="http://www.opentraintimes.com/schedule/W39527/2012/8/7"/>
    <hyperlink ref="B216" r:id="rId215" display="http://www.opentraintimes.com/schedule/W39529/2012/8/7"/>
    <hyperlink ref="B217" r:id="rId216" display="http://www.opentraintimes.com/schedule/W30651/2012/8/7"/>
    <hyperlink ref="B218" r:id="rId217" display="http://www.opentraintimes.com/schedule/W30231/2012/8/7"/>
    <hyperlink ref="B219" r:id="rId218" display="http://www.opentraintimes.com/schedule/W39721/2012/8/7"/>
    <hyperlink ref="B220" r:id="rId219" display="http://www.opentraintimes.com/schedule/W39719/2012/8/7"/>
    <hyperlink ref="B221" r:id="rId220" display="http://www.opentraintimes.com/schedule/W39423/2012/8/7"/>
    <hyperlink ref="B222" r:id="rId221" display="http://www.opentraintimes.com/schedule/W39425/2012/8/7"/>
    <hyperlink ref="B223" r:id="rId222" display="http://www.opentraintimes.com/schedule/W30658/2012/8/7"/>
    <hyperlink ref="B224" r:id="rId223" display="http://www.opentraintimes.com/schedule/W30661/2012/8/7"/>
    <hyperlink ref="B225" r:id="rId224" display="http://www.opentraintimes.com/schedule/W39531/2012/8/7"/>
    <hyperlink ref="B226" r:id="rId225" display="http://www.opentraintimes.com/schedule/W39723/2012/8/7"/>
    <hyperlink ref="B227" r:id="rId226" display="http://www.opentraintimes.com/schedule/W30239/2012/8/7"/>
    <hyperlink ref="B228" r:id="rId227" display="http://www.opentraintimes.com/schedule/W39533/2012/8/7"/>
    <hyperlink ref="B229" r:id="rId228" display="http://www.opentraintimes.com/schedule/W39725/2012/8/7"/>
    <hyperlink ref="B230" r:id="rId229" display="http://www.opentraintimes.com/schedule/W30668/2012/8/7"/>
    <hyperlink ref="B231" r:id="rId230" display="http://www.opentraintimes.com/schedule/W39535/2012/8/7"/>
    <hyperlink ref="B232" r:id="rId231" display="http://www.opentraintimes.com/schedule/W39537/2012/8/7"/>
    <hyperlink ref="B233" r:id="rId232" display="http://www.opentraintimes.com/schedule/W30664/2012/8/7"/>
    <hyperlink ref="B234" r:id="rId233" display="http://www.opentraintimes.com/schedule/W30244/2012/8/7"/>
    <hyperlink ref="B235" r:id="rId234" display="http://www.opentraintimes.com/schedule/W39729/2012/8/7"/>
    <hyperlink ref="B236" r:id="rId235" display="http://www.opentraintimes.com/schedule/W39727/2012/8/7"/>
    <hyperlink ref="B237" r:id="rId236" display="http://www.opentraintimes.com/schedule/W39427/2012/8/7"/>
    <hyperlink ref="B238" r:id="rId237" display="http://www.opentraintimes.com/schedule/W39429/2012/8/7"/>
    <hyperlink ref="B239" r:id="rId238" display="http://www.opentraintimes.com/schedule/W30671/2012/8/7"/>
    <hyperlink ref="B240" r:id="rId239" display="http://www.opentraintimes.com/schedule/W30674/2012/8/7"/>
    <hyperlink ref="B241" r:id="rId240" display="http://www.opentraintimes.com/schedule/W39539/2012/8/7"/>
    <hyperlink ref="B242" r:id="rId241" display="http://www.opentraintimes.com/schedule/W39731/2012/8/7"/>
    <hyperlink ref="B243" r:id="rId242" display="http://www.opentraintimes.com/schedule/W30254/2012/8/7"/>
    <hyperlink ref="B244" r:id="rId243" display="http://www.opentraintimes.com/schedule/W39541/2012/8/7"/>
    <hyperlink ref="B245" r:id="rId244" display="http://www.opentraintimes.com/schedule/W39733/2012/8/7"/>
    <hyperlink ref="B246" r:id="rId245" display="http://www.opentraintimes.com/schedule/W30680/2012/8/7"/>
    <hyperlink ref="B247" r:id="rId246" display="http://www.opentraintimes.com/schedule/W39543/2012/8/7"/>
    <hyperlink ref="B248" r:id="rId247" display="http://www.opentraintimes.com/schedule/W39545/2012/8/7"/>
    <hyperlink ref="B249" r:id="rId248" display="http://www.opentraintimes.com/schedule/W30677/2012/8/7"/>
    <hyperlink ref="B250" r:id="rId249" display="http://www.opentraintimes.com/schedule/W30259/2012/8/7"/>
    <hyperlink ref="B251" r:id="rId250" display="http://www.opentraintimes.com/schedule/W39737/2012/8/7"/>
    <hyperlink ref="B252" r:id="rId251" display="http://www.opentraintimes.com/schedule/W39735/2012/8/7"/>
    <hyperlink ref="B253" r:id="rId252" display="http://www.opentraintimes.com/schedule/W39295/2012/8/7"/>
    <hyperlink ref="B254" r:id="rId253" display="http://www.opentraintimes.com/schedule/W39431/2012/8/7"/>
    <hyperlink ref="B255" r:id="rId254" display="http://www.opentraintimes.com/schedule/W30683/2012/8/7"/>
    <hyperlink ref="B256" r:id="rId255" display="http://www.opentraintimes.com/schedule/W30686/2012/8/7"/>
    <hyperlink ref="B257" r:id="rId256" display="http://www.opentraintimes.com/schedule/W39547/2012/8/7"/>
    <hyperlink ref="B258" r:id="rId257" display="http://www.opentraintimes.com/schedule/W39739/2012/8/7"/>
    <hyperlink ref="B259" r:id="rId258" display="http://www.opentraintimes.com/schedule/W30268/2012/8/7"/>
    <hyperlink ref="B260" r:id="rId259" display="http://www.opentraintimes.com/schedule/W39549/2012/8/7"/>
    <hyperlink ref="B261" r:id="rId260" display="http://www.opentraintimes.com/schedule/W39741/2012/8/7"/>
    <hyperlink ref="B262" r:id="rId261" display="http://www.opentraintimes.com/schedule/W30692/2012/8/7"/>
    <hyperlink ref="B263" r:id="rId262" display="http://www.opentraintimes.com/schedule/W39551/2012/8/7"/>
    <hyperlink ref="B264" r:id="rId263" display="http://www.opentraintimes.com/schedule/W39553/2012/8/7"/>
    <hyperlink ref="B265" r:id="rId264" display="http://www.opentraintimes.com/schedule/W30689/2012/8/7"/>
    <hyperlink ref="B266" r:id="rId265" display="http://www.opentraintimes.com/schedule/W30271/2012/8/7"/>
    <hyperlink ref="B267" r:id="rId266" display="http://www.opentraintimes.com/schedule/W39745/2012/8/7"/>
    <hyperlink ref="B268" r:id="rId267" display="http://www.opentraintimes.com/schedule/W39743/2012/8/7"/>
    <hyperlink ref="B269" r:id="rId268" display="http://www.opentraintimes.com/schedule/W39433/2012/8/7"/>
    <hyperlink ref="B270" r:id="rId269" display="http://www.opentraintimes.com/schedule/W39435/2012/8/7"/>
    <hyperlink ref="B271" r:id="rId270" display="http://www.opentraintimes.com/schedule/W30695/2012/8/7"/>
    <hyperlink ref="B272" r:id="rId271" display="http://www.opentraintimes.com/schedule/W30698/2012/8/7"/>
    <hyperlink ref="B273" r:id="rId272" display="http://www.opentraintimes.com/schedule/W39555/2012/8/7"/>
    <hyperlink ref="B274" r:id="rId273" display="http://www.opentraintimes.com/schedule/W39747/2012/8/7"/>
    <hyperlink ref="B275" r:id="rId274" display="http://www.opentraintimes.com/schedule/W30279/2012/8/7"/>
    <hyperlink ref="B276" r:id="rId275" display="http://www.opentraintimes.com/schedule/W39557/2012/8/7"/>
    <hyperlink ref="B277" r:id="rId276" display="http://www.opentraintimes.com/schedule/W39749/2012/8/7"/>
    <hyperlink ref="B278" r:id="rId277" display="http://www.opentraintimes.com/schedule/W30704/2012/8/7"/>
    <hyperlink ref="B279" r:id="rId278" display="http://www.opentraintimes.com/schedule/W39559/2012/8/7"/>
    <hyperlink ref="B280" r:id="rId279" display="http://www.opentraintimes.com/schedule/W39561/2012/8/7"/>
    <hyperlink ref="B281" r:id="rId280" display="http://www.opentraintimes.com/schedule/W30701/2012/8/7"/>
    <hyperlink ref="B282" r:id="rId281" display="http://www.opentraintimes.com/schedule/W30282/2012/8/7"/>
    <hyperlink ref="B283" r:id="rId282" display="http://www.opentraintimes.com/schedule/W39753/2012/8/7"/>
    <hyperlink ref="B284" r:id="rId283" display="http://www.opentraintimes.com/schedule/W39751/2012/8/7"/>
    <hyperlink ref="B285" r:id="rId284" display="http://www.opentraintimes.com/schedule/W39437/2012/8/7"/>
    <hyperlink ref="B286" r:id="rId285" display="http://www.opentraintimes.com/schedule/W39439/2012/8/7"/>
    <hyperlink ref="B287" r:id="rId286" display="http://www.opentraintimes.com/schedule/W30707/2012/8/7"/>
    <hyperlink ref="B288" r:id="rId287" display="http://www.opentraintimes.com/schedule/W30710/2012/8/7"/>
    <hyperlink ref="B289" r:id="rId288" display="http://www.opentraintimes.com/schedule/W39563/2012/8/7"/>
    <hyperlink ref="B290" r:id="rId289" display="http://www.opentraintimes.com/schedule/W39755/2012/8/7"/>
    <hyperlink ref="B291" r:id="rId290" display="http://www.opentraintimes.com/schedule/W30292/2012/8/7"/>
    <hyperlink ref="B292" r:id="rId291" display="http://www.opentraintimes.com/schedule/W39565/2012/8/7"/>
    <hyperlink ref="B293" r:id="rId292" display="http://www.opentraintimes.com/schedule/W39757/2012/8/7"/>
    <hyperlink ref="B294" r:id="rId293" display="http://www.opentraintimes.com/schedule/W30716/2012/8/7"/>
    <hyperlink ref="B295" r:id="rId294" display="http://www.opentraintimes.com/schedule/W39567/2012/8/7"/>
    <hyperlink ref="B296" r:id="rId295" display="http://www.opentraintimes.com/schedule/W39569/2012/8/7"/>
    <hyperlink ref="B297" r:id="rId296" display="http://www.opentraintimes.com/schedule/W30713/2012/8/7"/>
    <hyperlink ref="B298" r:id="rId297" display="http://www.opentraintimes.com/schedule/W30296/2012/8/7"/>
    <hyperlink ref="B299" r:id="rId298" display="http://www.opentraintimes.com/schedule/W39761/2012/8/7"/>
    <hyperlink ref="B300" r:id="rId299" display="http://www.opentraintimes.com/schedule/W39759/2012/8/7"/>
    <hyperlink ref="B301" r:id="rId300" display="http://www.opentraintimes.com/schedule/W39441/2012/8/7"/>
    <hyperlink ref="B302" r:id="rId301" display="http://www.opentraintimes.com/schedule/W39297/2012/8/7"/>
    <hyperlink ref="B303" r:id="rId302" display="http://www.opentraintimes.com/schedule/W30719/2012/8/7"/>
    <hyperlink ref="B304" r:id="rId303" display="http://www.opentraintimes.com/schedule/W30722/2012/8/7"/>
    <hyperlink ref="B305" r:id="rId304" display="http://www.opentraintimes.com/schedule/W39571/2012/8/7"/>
    <hyperlink ref="B306" r:id="rId305" display="http://www.opentraintimes.com/schedule/W39763/2012/8/7"/>
    <hyperlink ref="B307" r:id="rId306" display="http://www.opentraintimes.com/schedule/W30306/2012/8/7"/>
    <hyperlink ref="B308" r:id="rId307" display="http://www.opentraintimes.com/schedule/W39573/2012/8/7"/>
    <hyperlink ref="B309" r:id="rId308" display="http://www.opentraintimes.com/schedule/W39765/2012/8/7"/>
    <hyperlink ref="B310" r:id="rId309" display="http://www.opentraintimes.com/schedule/W00663/2012/8/7"/>
    <hyperlink ref="B311" r:id="rId310" display="http://www.opentraintimes.com/schedule/W39575/2012/8/7"/>
    <hyperlink ref="B312" r:id="rId311" display="http://www.opentraintimes.com/schedule/W39577/2012/8/7"/>
    <hyperlink ref="B313" r:id="rId312" display="http://www.opentraintimes.com/schedule/W30725/2012/8/7"/>
    <hyperlink ref="B314" r:id="rId313" display="http://www.opentraintimes.com/schedule/W39767/2012/8/7"/>
    <hyperlink ref="B315" r:id="rId314" display="http://www.opentraintimes.com/schedule/W39769/2012/8/7"/>
    <hyperlink ref="B316" r:id="rId315" display="http://www.opentraintimes.com/schedule/W39769/2012/8/7"/>
    <hyperlink ref="B317" r:id="rId316" display="http://www.opentraintimes.com/schedule/W39771/2012/8/7"/>
    <hyperlink ref="B318" r:id="rId317" display="http://www.opentraintimes.com/schedule/W39299/2012/8/7"/>
    <hyperlink ref="B319" r:id="rId318" display="http://www.opentraintimes.com/schedule/W39581/2012/8/7"/>
    <hyperlink ref="B320" r:id="rId319" display="http://www.opentraintimes.com/schedule/W30734/2012/8/7"/>
    <hyperlink ref="B321" r:id="rId320" display="http://www.opentraintimes.com/schedule/W30731/2012/8/7"/>
    <hyperlink ref="B322" r:id="rId321" display="http://www.opentraintimes.com/schedule/W39579/2012/8/7"/>
    <hyperlink ref="B323" r:id="rId322" display="http://www.opentraintimes.com/schedule/W39775/2012/8/7"/>
    <hyperlink ref="B324" r:id="rId323" display="http://www.opentraintimes.com/schedule/W30321/2012/8/7"/>
    <hyperlink ref="B325" r:id="rId324" display="http://www.opentraintimes.com/schedule/W39779/2012/8/7"/>
    <hyperlink ref="B326" r:id="rId325" display="http://www.opentraintimes.com/schedule/W39773/2012/8/7"/>
    <hyperlink ref="B327" r:id="rId326" display="http://www.opentraintimes.com/schedule/W39777/2012/8/7"/>
    <hyperlink ref="B328" r:id="rId327" display="http://www.opentraintimes.com/schedule/W39587/2012/8/7"/>
    <hyperlink ref="B329" r:id="rId328" display="http://www.opentraintimes.com/schedule/W39583/2012/8/7"/>
    <hyperlink ref="B330" r:id="rId329" display="http://www.opentraintimes.com/schedule/W30737/2012/8/7"/>
    <hyperlink ref="B331" r:id="rId330" display="http://www.opentraintimes.com/schedule/W30740/2012/8/7"/>
    <hyperlink ref="B332" r:id="rId331" display="http://www.opentraintimes.com/schedule/W39585/2012/8/7"/>
    <hyperlink ref="B333" r:id="rId332" display="http://www.opentraintimes.com/schedule/W39783/2012/8/7"/>
    <hyperlink ref="B334" r:id="rId333" display="http://www.opentraintimes.com/schedule/W39781/2012/8/7"/>
    <hyperlink ref="B335" r:id="rId334" display="http://www.opentraintimes.com/schedule/W39787/2012/8/7"/>
    <hyperlink ref="B336" r:id="rId335" display="http://www.opentraintimes.com/schedule/W39785/2012/8/7"/>
    <hyperlink ref="B337" r:id="rId336" display="http://www.opentraintimes.com/schedule/W39589/2012/8/7"/>
    <hyperlink ref="B338" r:id="rId337" display="http://www.opentraintimes.com/schedule/W48442/2012/8/7"/>
    <hyperlink ref="B339" r:id="rId338" display="http://www.opentraintimes.com/schedule/W36738/2012/8/7"/>
    <hyperlink ref="B340" r:id="rId339" display="http://www.opentraintimes.com/schedule/W30743/2012/8/7"/>
    <hyperlink ref="B341" r:id="rId340" display="http://www.opentraintimes.com/schedule/W39789/2012/8/7"/>
    <hyperlink ref="B342" r:id="rId341" display="http://www.opentraintimes.com/schedule/W39593/2012/8/7"/>
    <hyperlink ref="B343" r:id="rId342" display="http://www.opentraintimes.com/schedule/W39793/2012/8/7"/>
    <hyperlink ref="B344" r:id="rId343" display="http://www.opentraintimes.com/schedule/W39597/2012/8/7"/>
    <hyperlink ref="B345" r:id="rId344" display="http://www.opentraintimes.com/schedule/W36740/2012/8/7"/>
    <hyperlink ref="B346" r:id="rId345" display="http://www.opentraintimes.com/schedule/W39791/2012/8/7"/>
  </hyperlinks>
  <pageMargins left="0.7" right="0.7" top="0.75" bottom="0.75" header="0.3" footer="0.3"/>
  <pageSetup paperSize="9" orientation="portrait" horizontalDpi="0" verticalDpi="0" r:id="rId3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dcterms:created xsi:type="dcterms:W3CDTF">2012-08-06T12:16:09Z</dcterms:created>
  <dcterms:modified xsi:type="dcterms:W3CDTF">2012-08-06T19:33:05Z</dcterms:modified>
</cp:coreProperties>
</file>